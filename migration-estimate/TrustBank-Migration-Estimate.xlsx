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Effort Estimate" sheetId="3" state="visible" r:id="rId3"/>
    <sheet name="Module Inventory" sheetId="4" state="visible" r:id="rId4"/>
    <sheet name="Screen List" sheetId="5" state="visible" r:id="rId5"/>
  </sheets>
  <definedNames>
    <definedName name="_xlnm._FilterDatabase" localSheetId="4" hidden="1">'Screen List'!$A$4:$F$1462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;(#,##0);-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9"/>
    </font>
    <font>
      <name val="Calibri"/>
      <b val="1"/>
      <color rgb="001F3864"/>
      <sz val="12"/>
    </font>
    <font>
      <name val="Calibri"/>
      <color rgb="000000FF"/>
    </font>
    <font>
      <name val="Calibri"/>
      <b val="1"/>
      <color rgb="00FFFFFF"/>
    </font>
    <font>
      <name val="Calibri"/>
      <color rgb="00000000"/>
    </font>
    <font>
      <name val="Calibri"/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4" fillId="2" borderId="1" pivotButton="0" quotePrefix="0" xfId="0"/>
    <xf numFmtId="9" fontId="4" fillId="2" borderId="1" pivotButton="0" quotePrefix="0" xfId="0"/>
    <xf numFmtId="3" fontId="4" fillId="2" borderId="1" pivotButton="0" quotePrefix="0" xfId="0"/>
    <xf numFmtId="2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5" fontId="7" fillId="4" borderId="1" pivotButton="0" quotePrefix="0" xfId="0"/>
    <xf numFmtId="0" fontId="8" fillId="5" borderId="1" pivotButton="0" quotePrefix="0" xfId="0"/>
    <xf numFmtId="0" fontId="0" fillId="5" borderId="1" pivotButton="0" quotePrefix="0" xfId="0"/>
    <xf numFmtId="165" fontId="8" fillId="5" borderId="1" pivotButton="0" quotePrefix="0" xfId="0"/>
    <xf numFmtId="165" fontId="0" fillId="0" borderId="1" pivotButton="0" quotePrefix="0" xfId="0"/>
    <xf numFmtId="0" fontId="7" fillId="5" borderId="1" pivotButton="0" quotePrefix="0" xfId="0"/>
    <xf numFmtId="3" fontId="7" fillId="5" borderId="1" pivotButton="0" quotePrefix="0" xfId="0"/>
    <xf numFmtId="165" fontId="7" fillId="5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TrustBank CBS → .NET 10 MVC — Migration Estimate</t>
        </is>
      </c>
    </row>
    <row r="3">
      <c r="A3" t="inlineStr"/>
    </row>
    <row r="4">
      <c r="A4" t="inlineStr">
        <is>
          <t>Prepared from an automated scan of the legacy source on 2026-06-17.</t>
        </is>
      </c>
    </row>
    <row r="5">
      <c r="A5" t="inlineStr">
        <is>
          <t>STATUS: Rough Order of Magnitude (ROM), +/-40%. Firm to +/-15% after a 4-6 week discovery (screen-by-screen inventory).</t>
        </is>
      </c>
    </row>
    <row r="6">
      <c r="A6" t="inlineStr"/>
    </row>
    <row r="7">
      <c r="A7" s="2" t="inlineStr">
        <is>
          <t>MEASURED SCOPE</t>
        </is>
      </c>
    </row>
    <row r="8">
      <c r="A8" t="inlineStr">
        <is>
          <t xml:space="preserve">  - Functional (non-report) screens: 1,059</t>
        </is>
      </c>
    </row>
    <row r="9">
      <c r="A9" t="inlineStr">
        <is>
          <t xml:space="preserve">  - Report screens: 399   (+ 892 .rdlc/.rpt report definitions)</t>
        </is>
      </c>
    </row>
    <row r="10">
      <c r="A10" t="inlineStr">
        <is>
          <t xml:space="preserve">  - Total .aspx: 1,458    Reusable controls (.ascx): 19    Stored procedures: 5,317</t>
        </is>
      </c>
    </row>
    <row r="11">
      <c r="A11" t="inlineStr"/>
    </row>
    <row r="12">
      <c r="A12" s="2" t="inlineStr">
        <is>
          <t>METHOD</t>
        </is>
      </c>
    </row>
    <row r="13">
      <c r="A13" t="inlineStr">
        <is>
          <t xml:space="preserve">  - Bottom-up: each functional screen classified Simple/Medium/Complex; reports separate; rate per bucket.</t>
        </is>
      </c>
    </row>
    <row r="14">
      <c r="A14" t="inlineStr">
        <is>
          <t xml:space="preserve">  - Plus workstreams: reporting platform, core engine procedures, data migration/parallel-run,</t>
        </is>
      </c>
    </row>
    <row r="15">
      <c r="A15" t="inlineStr">
        <is>
          <t xml:space="preserve">    remaining foundation + cross-provider hardening, QA/UAT, security/perf, PM/BA/DevOps/training.</t>
        </is>
      </c>
    </row>
    <row r="16">
      <c r="A16" t="inlineStr">
        <is>
          <t xml:space="preserve">  - Calendar = total effort / (team size x productive days per year).</t>
        </is>
      </c>
    </row>
    <row r="17">
      <c r="A17" t="inlineStr"/>
    </row>
    <row r="18">
      <c r="A18" t="inlineStr">
        <is>
          <t>ALREADY BUILT (excluded from the build numbers — a real head start)</t>
        </is>
      </c>
    </row>
    <row r="19">
      <c r="A19" t="inlineStr">
        <is>
          <t xml:space="preserve">  - Framework split, auth/session, menu + fail-closed access guard, multi-provider DAL,</t>
        </is>
      </c>
    </row>
    <row r="20">
      <c r="A20" t="inlineStr">
        <is>
          <t xml:space="preserve">    reusable components (record/account/date pickers, search modal, notifications, RowToken),</t>
        </is>
      </c>
    </row>
    <row r="21">
      <c r="A21" t="inlineStr">
        <is>
          <t xml:space="preserve">    a repeatable per-screen migration recipe, and 6 screens delivered as reference.</t>
        </is>
      </c>
    </row>
    <row r="22">
      <c r="A22" t="inlineStr"/>
    </row>
    <row r="23">
      <c r="A23" s="2" t="inlineStr">
        <is>
          <t>HOW TO USE THIS WORKBOOK</t>
        </is>
      </c>
    </row>
    <row r="24">
      <c r="A24" t="inlineStr">
        <is>
          <t xml:space="preserve">  - 'Assumptions' — edit the blue cells (rates, %s, team size, scenario multipliers); everything recalculates.</t>
        </is>
      </c>
    </row>
    <row r="25">
      <c r="A25" t="inlineStr">
        <is>
          <t xml:space="preserve">  - 'Effort Estimate' — the headline numbers, scenarios, and calendar.</t>
        </is>
      </c>
    </row>
    <row r="26">
      <c r="A26" t="inlineStr">
        <is>
          <t xml:space="preserve">  - 'Module Inventory' — screens + effort by module (for phasing/sequencing).</t>
        </is>
      </c>
    </row>
    <row r="27">
      <c r="A27" t="inlineStr">
        <is>
          <t xml:space="preserve">  - 'Screen List' — every screen with its suggested complexity (the discovery worksheet).</t>
        </is>
      </c>
    </row>
    <row r="28">
      <c r="A28" t="inlineStr"/>
    </row>
    <row r="29">
      <c r="A29" s="2" t="inlineStr">
        <is>
          <t>KEY RISKS / SWING ITEMS</t>
        </is>
      </c>
    </row>
    <row r="30">
      <c r="A30" t="inlineStr">
        <is>
          <t xml:space="preserve">  - Cross-provider SQL (Oracle/Postgres): raw-SQL screens are SQL-Server dialect; single-DB target removes ~120-150 pd.</t>
        </is>
      </c>
    </row>
    <row r="31">
      <c r="A31" t="inlineStr">
        <is>
          <t xml:space="preserve">  - Reports (362 screens + 892 definitions): 'rehost' vs 'rebuild' swings the total by ~500-700 pd.</t>
        </is>
      </c>
    </row>
    <row r="32">
      <c r="A32" t="inlineStr">
        <is>
          <t xml:space="preserve">  - 5,317 procedures: deep embedded logic (interest/GL/day-end) — highest risk, needs heavy parallel-run validation.</t>
        </is>
      </c>
    </row>
    <row r="33">
      <c r="A33" t="inlineStr">
        <is>
          <t xml:space="preserve">  - Banking correctness/compliance lengthens UAT and may require regulator sign-off.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40" customWidth="1" min="3" max="3"/>
  </cols>
  <sheetData>
    <row r="1">
      <c r="A1" s="1" t="inlineStr">
        <is>
          <t>TrustBank CBS — Migration Estimate · Assumptions &amp; Rates</t>
        </is>
      </c>
    </row>
    <row r="2">
      <c r="A2" s="3" t="inlineStr">
        <is>
          <t>All blue cells are editable inputs. Source counts from legacy code scan, 2026-06-17.</t>
        </is>
      </c>
    </row>
    <row r="4">
      <c r="A4" s="2" t="inlineStr">
        <is>
          <t>Effort rates (person-days per screen)</t>
        </is>
      </c>
    </row>
    <row r="5">
      <c r="A5" s="4" t="inlineStr">
        <is>
          <t>Simple</t>
        </is>
      </c>
      <c r="B5" s="5" t="n">
        <v>1.5</v>
      </c>
    </row>
    <row r="6">
      <c r="A6" s="4" t="inlineStr">
        <is>
          <t>Medium</t>
        </is>
      </c>
      <c r="B6" s="5" t="n">
        <v>4</v>
      </c>
    </row>
    <row r="7">
      <c r="A7" s="4" t="inlineStr">
        <is>
          <t>Complex</t>
        </is>
      </c>
      <c r="B7" s="5" t="n">
        <v>10</v>
      </c>
    </row>
    <row r="8">
      <c r="A8" s="4" t="inlineStr">
        <is>
          <t>Report</t>
        </is>
      </c>
      <c r="B8" s="5" t="n">
        <v>2</v>
      </c>
    </row>
    <row r="10">
      <c r="A10" s="2" t="inlineStr">
        <is>
          <t>Program parameters</t>
        </is>
      </c>
    </row>
    <row r="11">
      <c r="A11" s="4" t="inlineStr">
        <is>
          <t>QA + UAT (% of build effort)</t>
        </is>
      </c>
      <c r="B11" s="6" t="n">
        <v>0.3</v>
      </c>
    </row>
    <row r="12">
      <c r="A12" s="4" t="inlineStr">
        <is>
          <t>PM / BA / DevOps / training / docs (% of build)</t>
        </is>
      </c>
      <c r="B12" s="6" t="n">
        <v>0.2</v>
      </c>
    </row>
    <row r="13">
      <c r="A13" s="4" t="inlineStr">
        <is>
          <t>Security review + performance hardening (pd)</t>
        </is>
      </c>
      <c r="B13" s="7" t="n">
        <v>150</v>
      </c>
    </row>
    <row r="14">
      <c r="A14" s="4" t="inlineStr">
        <is>
          <t>Core engine procs to migrate (count)</t>
        </is>
      </c>
      <c r="B14" s="7" t="n">
        <v>40</v>
      </c>
      <c r="C14" s="3" t="inlineStr">
        <is>
          <t>interest, balance, day-end, GL posting, clearing</t>
        </is>
      </c>
    </row>
    <row r="15">
      <c r="A15" s="4" t="inlineStr">
        <is>
          <t>Core engine proc rate (pd each)</t>
        </is>
      </c>
      <c r="B15" s="5" t="n">
        <v>15</v>
      </c>
    </row>
    <row r="16">
      <c r="A16" s="4" t="inlineStr">
        <is>
          <t>Data migration + parallel-run tooling (pd)</t>
        </is>
      </c>
      <c r="B16" s="7" t="n">
        <v>200</v>
      </c>
    </row>
    <row r="17">
      <c r="A17" s="4" t="inlineStr">
        <is>
          <t>Foundation remaining + cross-provider hardening (pd)</t>
        </is>
      </c>
      <c r="B17" s="7" t="n">
        <v>240</v>
      </c>
      <c r="C17" s="3" t="inlineStr">
        <is>
          <t>framework is otherwise already built</t>
        </is>
      </c>
    </row>
    <row r="18">
      <c r="A18" s="4" t="inlineStr">
        <is>
          <t>Reporting platform setup (pd)</t>
        </is>
      </c>
      <c r="B18" s="7" t="n">
        <v>40</v>
      </c>
    </row>
    <row r="19">
      <c r="A19" s="4" t="inlineStr">
        <is>
          <t>Productive days per person-year</t>
        </is>
      </c>
      <c r="B19" s="7" t="n">
        <v>220</v>
      </c>
    </row>
    <row r="21">
      <c r="A21" s="2" t="inlineStr">
        <is>
          <t>Scenario multipliers</t>
        </is>
      </c>
    </row>
    <row r="22">
      <c r="A22" s="4" t="inlineStr">
        <is>
          <t>Optimistic ×</t>
        </is>
      </c>
      <c r="B22" s="8" t="n">
        <v>0.7</v>
      </c>
      <c r="C22" s="3" t="inlineStr">
        <is>
          <t>SQL-Server-only, reports rehosted, strong reuse</t>
        </is>
      </c>
    </row>
    <row r="23">
      <c r="A23" s="4" t="inlineStr">
        <is>
          <t>Likely ×</t>
        </is>
      </c>
      <c r="B23" s="8" t="n">
        <v>1</v>
      </c>
    </row>
    <row r="24">
      <c r="A24" s="4" t="inlineStr">
        <is>
          <t>Pessimistic ×</t>
        </is>
      </c>
      <c r="B24" s="8" t="n">
        <v>1.4</v>
      </c>
      <c r="C24" s="3" t="inlineStr">
        <is>
          <t>multi-DB, full report rebuild, deep parallel-run</t>
        </is>
      </c>
    </row>
    <row r="26">
      <c r="A26" s="2" t="inlineStr">
        <is>
          <t>Calendar — team sizes (incl. QA/BA/PM)</t>
        </is>
      </c>
    </row>
    <row r="27">
      <c r="A27" s="4" t="inlineStr">
        <is>
          <t>Team A (people)</t>
        </is>
      </c>
      <c r="B27" s="7" t="n">
        <v>15</v>
      </c>
    </row>
    <row r="28">
      <c r="A28" s="4" t="inlineStr">
        <is>
          <t>Team B (people)</t>
        </is>
      </c>
      <c r="B28" s="7" t="n">
        <v>20</v>
      </c>
    </row>
    <row r="29">
      <c r="A29" s="4" t="inlineStr">
        <is>
          <t>Team C (people)</t>
        </is>
      </c>
      <c r="B29" s="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Migration Effort Estimate</t>
        </is>
      </c>
    </row>
    <row r="2">
      <c r="A2" s="3" t="inlineStr">
        <is>
          <t>Counts are from the legacy code scan (2026-06-17); rates/parameters live on the Assumptions sheet (editable).</t>
        </is>
      </c>
    </row>
    <row r="4">
      <c r="A4" s="9" t="inlineStr">
        <is>
          <t>Workstream</t>
        </is>
      </c>
      <c r="B4" s="9" t="inlineStr">
        <is>
          <t>Count</t>
        </is>
      </c>
      <c r="C4" s="9" t="inlineStr">
        <is>
          <t>Rate (pd)</t>
        </is>
      </c>
      <c r="D4" s="9" t="inlineStr">
        <is>
          <t>Effort (pd)</t>
        </is>
      </c>
      <c r="E4" s="9" t="inlineStr">
        <is>
          <t>Notes</t>
        </is>
      </c>
    </row>
    <row r="5">
      <c r="A5" s="4" t="inlineStr">
        <is>
          <t>Simple screens (masters, config, lookups, inquiries)</t>
        </is>
      </c>
      <c r="B5" s="10" t="n">
        <v>121</v>
      </c>
      <c r="C5" s="11">
        <f>Assumptions!$B$5</f>
        <v/>
      </c>
      <c r="D5" s="12">
        <f>B5*C5</f>
        <v/>
      </c>
      <c r="E5" s="3" t="inlineStr"/>
    </row>
    <row r="6">
      <c r="A6" s="4" t="inlineStr">
        <is>
          <t>Medium screens (search/list, multi-tab, dependent pickers)</t>
        </is>
      </c>
      <c r="B6" s="10" t="n">
        <v>751</v>
      </c>
      <c r="C6" s="11">
        <f>Assumptions!$B$6</f>
        <v/>
      </c>
      <c r="D6" s="12">
        <f>B6*C6</f>
        <v/>
      </c>
      <c r="E6" s="3" t="inlineStr"/>
    </row>
    <row r="7">
      <c r="A7" s="4" t="inlineStr">
        <is>
          <t>Complex screens (transactions, maker-checker, calc, batch)</t>
        </is>
      </c>
      <c r="B7" s="10" t="n">
        <v>187</v>
      </c>
      <c r="C7" s="11">
        <f>Assumptions!$B$7</f>
        <v/>
      </c>
      <c r="D7" s="12">
        <f>B7*C7</f>
        <v/>
      </c>
      <c r="E7" s="3" t="inlineStr"/>
    </row>
    <row r="8">
      <c r="A8" s="4" t="inlineStr">
        <is>
          <t>Reports (re-implement)</t>
        </is>
      </c>
      <c r="B8" s="10" t="n">
        <v>399</v>
      </c>
      <c r="C8" s="11">
        <f>Assumptions!$B$8</f>
        <v/>
      </c>
      <c r="D8" s="12">
        <f>B8*C8</f>
        <v/>
      </c>
      <c r="E8" s="3" t="inlineStr"/>
    </row>
    <row r="9">
      <c r="A9" s="4" t="inlineStr">
        <is>
          <t>Reporting platform setup</t>
        </is>
      </c>
      <c r="B9" s="4" t="inlineStr"/>
      <c r="C9" s="4" t="inlineStr"/>
      <c r="D9" s="12">
        <f>Assumptions!$B$18</f>
        <v/>
      </c>
      <c r="E9" s="3" t="inlineStr"/>
    </row>
    <row r="10">
      <c r="A10" s="4" t="inlineStr">
        <is>
          <t>Core engine procedures</t>
        </is>
      </c>
      <c r="B10" s="13">
        <f>Assumptions!$B$14</f>
        <v/>
      </c>
      <c r="C10" s="14">
        <f>Assumptions!$B$15</f>
        <v/>
      </c>
      <c r="D10" s="12">
        <f>B10*C10</f>
        <v/>
      </c>
      <c r="E10" s="3" t="inlineStr"/>
    </row>
    <row r="11">
      <c r="A11" s="4" t="inlineStr">
        <is>
          <t>Data migration + parallel-run tooling</t>
        </is>
      </c>
      <c r="B11" s="4" t="inlineStr"/>
      <c r="C11" s="4" t="inlineStr"/>
      <c r="D11" s="12">
        <f>Assumptions!$B$16</f>
        <v/>
      </c>
      <c r="E11" s="3" t="inlineStr"/>
    </row>
    <row r="12">
      <c r="A12" s="4" t="inlineStr">
        <is>
          <t>Foundation remaining + cross-provider hardening</t>
        </is>
      </c>
      <c r="B12" s="4" t="inlineStr"/>
      <c r="C12" s="4" t="inlineStr"/>
      <c r="D12" s="12">
        <f>Assumptions!$B$17</f>
        <v/>
      </c>
      <c r="E12" s="3" t="inlineStr"/>
    </row>
    <row r="13">
      <c r="A13" s="15" t="inlineStr">
        <is>
          <t>Build subtotal</t>
        </is>
      </c>
      <c r="B13" s="16" t="n"/>
      <c r="C13" s="16" t="n"/>
      <c r="D13" s="17">
        <f>SUM(D5:D12)</f>
        <v/>
      </c>
      <c r="E13" s="16" t="n"/>
    </row>
    <row r="14">
      <c r="A14" s="4" t="inlineStr">
        <is>
          <t>QA + UAT</t>
        </is>
      </c>
      <c r="B14" s="4" t="inlineStr"/>
      <c r="C14" s="4" t="inlineStr"/>
      <c r="D14" s="12">
        <f>D13*Assumptions!$B$11</f>
        <v/>
      </c>
      <c r="E14" s="3" t="inlineStr"/>
    </row>
    <row r="15">
      <c r="A15" s="4" t="inlineStr">
        <is>
          <t>PM / BA / DevOps / training / docs</t>
        </is>
      </c>
      <c r="B15" s="4" t="inlineStr"/>
      <c r="C15" s="4" t="inlineStr"/>
      <c r="D15" s="12">
        <f>D13*Assumptions!$B$12</f>
        <v/>
      </c>
      <c r="E15" s="3" t="inlineStr"/>
    </row>
    <row r="16">
      <c r="A16" s="4" t="inlineStr">
        <is>
          <t>Security + performance hardening</t>
        </is>
      </c>
      <c r="B16" s="4" t="inlineStr"/>
      <c r="C16" s="4" t="inlineStr"/>
      <c r="D16" s="12">
        <f>Assumptions!$B$13</f>
        <v/>
      </c>
      <c r="E16" s="3" t="inlineStr"/>
    </row>
    <row r="17">
      <c r="A17" s="18" t="inlineStr">
        <is>
          <t>TOTAL — Likely (pd)</t>
        </is>
      </c>
      <c r="B17" s="19" t="n"/>
      <c r="C17" s="19" t="n"/>
      <c r="D17" s="20">
        <f>D13+D14+D15+D16</f>
        <v/>
      </c>
      <c r="E17" s="19" t="n"/>
    </row>
    <row r="19">
      <c r="A19" s="2" t="inlineStr">
        <is>
          <t>Scenario</t>
        </is>
      </c>
      <c r="C19" s="2" t="inlineStr">
        <is>
          <t>Effort (pd)</t>
        </is>
      </c>
      <c r="D19" s="2" t="inlineStr">
        <is>
          <t>Person-years</t>
        </is>
      </c>
    </row>
    <row r="20">
      <c r="A20" s="4" t="inlineStr">
        <is>
          <t>Optimistic</t>
        </is>
      </c>
      <c r="C20" s="21">
        <f>$D$17*Assumptions!$B$22</f>
        <v/>
      </c>
      <c r="D20" s="14">
        <f>C20/Assumptions!$B$19</f>
        <v/>
      </c>
    </row>
    <row r="21">
      <c r="A21" s="4" t="inlineStr">
        <is>
          <t>Likely</t>
        </is>
      </c>
      <c r="C21" s="21">
        <f>$D$17*Assumptions!$B$23</f>
        <v/>
      </c>
      <c r="D21" s="14">
        <f>C21/Assumptions!$B$19</f>
        <v/>
      </c>
    </row>
    <row r="22">
      <c r="A22" s="4" t="inlineStr">
        <is>
          <t>Pessimistic</t>
        </is>
      </c>
      <c r="C22" s="21">
        <f>$D$17*Assumptions!$B$24</f>
        <v/>
      </c>
      <c r="D22" s="14">
        <f>C22/Assumptions!$B$19</f>
        <v/>
      </c>
    </row>
    <row r="24">
      <c r="A24" s="2" t="inlineStr">
        <is>
          <t>Calendar (Likely)</t>
        </is>
      </c>
      <c r="B24" s="2" t="inlineStr">
        <is>
          <t>People</t>
        </is>
      </c>
      <c r="D24" s="2" t="inlineStr">
        <is>
          <t>Years</t>
        </is>
      </c>
    </row>
    <row r="25">
      <c r="A25" s="4" t="inlineStr">
        <is>
          <t>Team A</t>
        </is>
      </c>
      <c r="B25" s="13">
        <f>Assumptions!$B$27</f>
        <v/>
      </c>
      <c r="D25" s="14">
        <f>$D$17/(B25*Assumptions!$B$19)</f>
        <v/>
      </c>
    </row>
    <row r="26">
      <c r="A26" s="4" t="inlineStr">
        <is>
          <t>Team B</t>
        </is>
      </c>
      <c r="B26" s="13">
        <f>Assumptions!$B$28</f>
        <v/>
      </c>
      <c r="D26" s="14">
        <f>$D$17/(B26*Assumptions!$B$19)</f>
        <v/>
      </c>
    </row>
    <row r="27">
      <c r="A27" s="4" t="inlineStr">
        <is>
          <t>Team C</t>
        </is>
      </c>
      <c r="B27" s="13">
        <f>Assumptions!$B$29</f>
        <v/>
      </c>
      <c r="D27" s="14">
        <f>$D$17/(B27*Assumptions!$B$19)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Legacy Screens by Module</t>
        </is>
      </c>
    </row>
    <row r="2">
      <c r="A2" s="3" t="inlineStr">
        <is>
          <t>Auto-classified from the code scan (2026-06-17); complexity is a suggestion to confirm in discovery. Effort uses Assumptions rates.</t>
        </is>
      </c>
    </row>
    <row r="4">
      <c r="A4" s="9" t="inlineStr">
        <is>
          <t>Module</t>
        </is>
      </c>
      <c r="B4" s="9" t="inlineStr">
        <is>
          <t>Simple</t>
        </is>
      </c>
      <c r="C4" s="9" t="inlineStr">
        <is>
          <t>Medium</t>
        </is>
      </c>
      <c r="D4" s="9" t="inlineStr">
        <is>
          <t>Complex</t>
        </is>
      </c>
      <c r="E4" s="9" t="inlineStr">
        <is>
          <t>Report</t>
        </is>
      </c>
      <c r="F4" s="9" t="inlineStr">
        <is>
          <t>Total</t>
        </is>
      </c>
      <c r="G4" s="9" t="inlineStr">
        <is>
          <t>Est. effort (pd)</t>
        </is>
      </c>
    </row>
    <row r="5">
      <c r="A5" s="4" t="inlineStr">
        <is>
          <t>RetailBanking</t>
        </is>
      </c>
      <c r="B5" s="13" t="n">
        <v>0</v>
      </c>
      <c r="C5" s="13" t="n">
        <v>535</v>
      </c>
      <c r="D5" s="13" t="n">
        <v>113</v>
      </c>
      <c r="E5" s="13" t="n">
        <v>19</v>
      </c>
      <c r="F5" s="13">
        <f>SUM(B5:E5)</f>
        <v/>
      </c>
      <c r="G5" s="21">
        <f>B5*Assumptions!$B$5+C5*Assumptions!$B$6+D5*Assumptions!$B$7+E5*Assumptions!$B$8</f>
        <v/>
      </c>
    </row>
    <row r="6">
      <c r="A6" s="4" t="inlineStr">
        <is>
          <t>Reports</t>
        </is>
      </c>
      <c r="B6" s="13" t="n">
        <v>0</v>
      </c>
      <c r="C6" s="13" t="n">
        <v>0</v>
      </c>
      <c r="D6" s="13" t="n">
        <v>0</v>
      </c>
      <c r="E6" s="13" t="n">
        <v>362</v>
      </c>
      <c r="F6" s="13">
        <f>SUM(B6:E6)</f>
        <v/>
      </c>
      <c r="G6" s="21">
        <f>B6*Assumptions!$B$5+C6*Assumptions!$B$6+D6*Assumptions!$B$7+E6*Assumptions!$B$8</f>
        <v/>
      </c>
    </row>
    <row r="7">
      <c r="A7" s="4" t="inlineStr">
        <is>
          <t>HO</t>
        </is>
      </c>
      <c r="B7" s="13" t="n">
        <v>78</v>
      </c>
      <c r="C7" s="13" t="n">
        <v>120</v>
      </c>
      <c r="D7" s="13" t="n">
        <v>0</v>
      </c>
      <c r="E7" s="13" t="n">
        <v>5</v>
      </c>
      <c r="F7" s="13">
        <f>SUM(B7:E7)</f>
        <v/>
      </c>
      <c r="G7" s="21">
        <f>B7*Assumptions!$B$5+C7*Assumptions!$B$6+D7*Assumptions!$B$7+E7*Assumptions!$B$8</f>
        <v/>
      </c>
    </row>
    <row r="8">
      <c r="A8" s="4" t="inlineStr">
        <is>
          <t>Reconciliation</t>
        </is>
      </c>
      <c r="B8" s="13" t="n">
        <v>0</v>
      </c>
      <c r="C8" s="13" t="n">
        <v>0</v>
      </c>
      <c r="D8" s="13" t="n">
        <v>74</v>
      </c>
      <c r="E8" s="13" t="n">
        <v>0</v>
      </c>
      <c r="F8" s="13">
        <f>SUM(B8:E8)</f>
        <v/>
      </c>
      <c r="G8" s="21">
        <f>B8*Assumptions!$B$5+C8*Assumptions!$B$6+D8*Assumptions!$B$7+E8*Assumptions!$B$8</f>
        <v/>
      </c>
    </row>
    <row r="9">
      <c r="A9" s="4" t="inlineStr">
        <is>
          <t>Inventory</t>
        </is>
      </c>
      <c r="B9" s="13" t="n">
        <v>0</v>
      </c>
      <c r="C9" s="13" t="n">
        <v>19</v>
      </c>
      <c r="D9" s="13" t="n">
        <v>0</v>
      </c>
      <c r="E9" s="13" t="n">
        <v>4</v>
      </c>
      <c r="F9" s="13">
        <f>SUM(B9:E9)</f>
        <v/>
      </c>
      <c r="G9" s="21">
        <f>B9*Assumptions!$B$5+C9*Assumptions!$B$6+D9*Assumptions!$B$7+E9*Assumptions!$B$8</f>
        <v/>
      </c>
    </row>
    <row r="10">
      <c r="A10" s="4" t="inlineStr">
        <is>
          <t>EmployeeDemand</t>
        </is>
      </c>
      <c r="B10" s="13" t="n">
        <v>0</v>
      </c>
      <c r="C10" s="13" t="n">
        <v>21</v>
      </c>
      <c r="D10" s="13" t="n">
        <v>0</v>
      </c>
      <c r="E10" s="13" t="n">
        <v>0</v>
      </c>
      <c r="F10" s="13">
        <f>SUM(B10:E10)</f>
        <v/>
      </c>
      <c r="G10" s="21">
        <f>B10*Assumptions!$B$5+C10*Assumptions!$B$6+D10*Assumptions!$B$7+E10*Assumptions!$B$8</f>
        <v/>
      </c>
    </row>
    <row r="11">
      <c r="A11" s="4" t="inlineStr">
        <is>
          <t>Helpdesk</t>
        </is>
      </c>
      <c r="B11" s="13" t="n">
        <v>0</v>
      </c>
      <c r="C11" s="13" t="n">
        <v>19</v>
      </c>
      <c r="D11" s="13" t="n">
        <v>0</v>
      </c>
      <c r="E11" s="13" t="n">
        <v>2</v>
      </c>
      <c r="F11" s="13">
        <f>SUM(B11:E11)</f>
        <v/>
      </c>
      <c r="G11" s="21">
        <f>B11*Assumptions!$B$5+C11*Assumptions!$B$6+D11*Assumptions!$B$7+E11*Assumptions!$B$8</f>
        <v/>
      </c>
    </row>
    <row r="12">
      <c r="A12" s="4" t="inlineStr">
        <is>
          <t>Hr</t>
        </is>
      </c>
      <c r="B12" s="13" t="n">
        <v>2</v>
      </c>
      <c r="C12" s="13" t="n">
        <v>19</v>
      </c>
      <c r="D12" s="13" t="n">
        <v>0</v>
      </c>
      <c r="E12" s="13" t="n">
        <v>0</v>
      </c>
      <c r="F12" s="13">
        <f>SUM(B12:E12)</f>
        <v/>
      </c>
      <c r="G12" s="21">
        <f>B12*Assumptions!$B$5+C12*Assumptions!$B$6+D12*Assumptions!$B$7+E12*Assumptions!$B$8</f>
        <v/>
      </c>
    </row>
    <row r="13">
      <c r="A13" s="4" t="inlineStr">
        <is>
          <t>Lockers</t>
        </is>
      </c>
      <c r="B13" s="13" t="n">
        <v>15</v>
      </c>
      <c r="C13" s="13" t="n">
        <v>0</v>
      </c>
      <c r="D13" s="13" t="n">
        <v>0</v>
      </c>
      <c r="E13" s="13" t="n">
        <v>0</v>
      </c>
      <c r="F13" s="13">
        <f>SUM(B13:E13)</f>
        <v/>
      </c>
      <c r="G13" s="21">
        <f>B13*Assumptions!$B$5+C13*Assumptions!$B$6+D13*Assumptions!$B$7+E13*Assumptions!$B$8</f>
        <v/>
      </c>
    </row>
    <row r="14">
      <c r="A14" s="4" t="inlineStr">
        <is>
          <t>(root)</t>
        </is>
      </c>
      <c r="B14" s="13" t="n">
        <v>12</v>
      </c>
      <c r="C14" s="13" t="n">
        <v>0</v>
      </c>
      <c r="D14" s="13" t="n">
        <v>0</v>
      </c>
      <c r="E14" s="13" t="n">
        <v>1</v>
      </c>
      <c r="F14" s="13">
        <f>SUM(B14:E14)</f>
        <v/>
      </c>
      <c r="G14" s="21">
        <f>B14*Assumptions!$B$5+C14*Assumptions!$B$6+D14*Assumptions!$B$7+E14*Assumptions!$B$8</f>
        <v/>
      </c>
    </row>
    <row r="15">
      <c r="A15" s="4" t="inlineStr">
        <is>
          <t>Config</t>
        </is>
      </c>
      <c r="B15" s="13" t="n">
        <v>6</v>
      </c>
      <c r="C15" s="13" t="n">
        <v>0</v>
      </c>
      <c r="D15" s="13" t="n">
        <v>0</v>
      </c>
      <c r="E15" s="13" t="n">
        <v>2</v>
      </c>
      <c r="F15" s="13">
        <f>SUM(B15:E15)</f>
        <v/>
      </c>
      <c r="G15" s="21">
        <f>B15*Assumptions!$B$5+C15*Assumptions!$B$6+D15*Assumptions!$B$7+E15*Assumptions!$B$8</f>
        <v/>
      </c>
    </row>
    <row r="16">
      <c r="A16" s="4" t="inlineStr">
        <is>
          <t>Authentication</t>
        </is>
      </c>
      <c r="B16" s="13" t="n">
        <v>7</v>
      </c>
      <c r="C16" s="13" t="n">
        <v>0</v>
      </c>
      <c r="D16" s="13" t="n">
        <v>0</v>
      </c>
      <c r="E16" s="13" t="n">
        <v>0</v>
      </c>
      <c r="F16" s="13">
        <f>SUM(B16:E16)</f>
        <v/>
      </c>
      <c r="G16" s="21">
        <f>B16*Assumptions!$B$5+C16*Assumptions!$B$6+D16*Assumptions!$B$7+E16*Assumptions!$B$8</f>
        <v/>
      </c>
    </row>
    <row r="17">
      <c r="A17" s="4" t="inlineStr">
        <is>
          <t>external_api</t>
        </is>
      </c>
      <c r="B17" s="13" t="n">
        <v>0</v>
      </c>
      <c r="C17" s="13" t="n">
        <v>5</v>
      </c>
      <c r="D17" s="13" t="n">
        <v>0</v>
      </c>
      <c r="E17" s="13" t="n">
        <v>0</v>
      </c>
      <c r="F17" s="13">
        <f>SUM(B17:E17)</f>
        <v/>
      </c>
      <c r="G17" s="21">
        <f>B17*Assumptions!$B$5+C17*Assumptions!$B$6+D17*Assumptions!$B$7+E17*Assumptions!$B$8</f>
        <v/>
      </c>
    </row>
    <row r="18">
      <c r="A18" s="4" t="inlineStr">
        <is>
          <t>fp</t>
        </is>
      </c>
      <c r="B18" s="13" t="n">
        <v>0</v>
      </c>
      <c r="C18" s="13" t="n">
        <v>5</v>
      </c>
      <c r="D18" s="13" t="n">
        <v>0</v>
      </c>
      <c r="E18" s="13" t="n">
        <v>0</v>
      </c>
      <c r="F18" s="13">
        <f>SUM(B18:E18)</f>
        <v/>
      </c>
      <c r="G18" s="21">
        <f>B18*Assumptions!$B$5+C18*Assumptions!$B$6+D18*Assumptions!$B$7+E18*Assumptions!$B$8</f>
        <v/>
      </c>
    </row>
    <row r="19">
      <c r="A19" s="4" t="inlineStr">
        <is>
          <t>UserControls</t>
        </is>
      </c>
      <c r="B19" s="13" t="n">
        <v>0</v>
      </c>
      <c r="C19" s="13" t="n">
        <v>4</v>
      </c>
      <c r="D19" s="13" t="n">
        <v>0</v>
      </c>
      <c r="E19" s="13" t="n">
        <v>0</v>
      </c>
      <c r="F19" s="13">
        <f>SUM(B19:E19)</f>
        <v/>
      </c>
      <c r="G19" s="21">
        <f>B19*Assumptions!$B$5+C19*Assumptions!$B$6+D19*Assumptions!$B$7+E19*Assumptions!$B$8</f>
        <v/>
      </c>
    </row>
    <row r="20">
      <c r="A20" s="4" t="inlineStr">
        <is>
          <t>StatutoryReports</t>
        </is>
      </c>
      <c r="B20" s="13" t="n">
        <v>0</v>
      </c>
      <c r="C20" s="13" t="n">
        <v>0</v>
      </c>
      <c r="D20" s="13" t="n">
        <v>0</v>
      </c>
      <c r="E20" s="13" t="n">
        <v>3</v>
      </c>
      <c r="F20" s="13">
        <f>SUM(B20:E20)</f>
        <v/>
      </c>
      <c r="G20" s="21">
        <f>B20*Assumptions!$B$5+C20*Assumptions!$B$6+D20*Assumptions!$B$7+E20*Assumptions!$B$8</f>
        <v/>
      </c>
    </row>
    <row r="21">
      <c r="A21" s="4" t="inlineStr">
        <is>
          <t>Customer360</t>
        </is>
      </c>
      <c r="B21" s="13" t="n">
        <v>0</v>
      </c>
      <c r="C21" s="13" t="n">
        <v>2</v>
      </c>
      <c r="D21" s="13" t="n">
        <v>0</v>
      </c>
      <c r="E21" s="13" t="n">
        <v>0</v>
      </c>
      <c r="F21" s="13">
        <f>SUM(B21:E21)</f>
        <v/>
      </c>
      <c r="G21" s="21">
        <f>B21*Assumptions!$B$5+C21*Assumptions!$B$6+D21*Assumptions!$B$7+E21*Assumptions!$B$8</f>
        <v/>
      </c>
    </row>
    <row r="22">
      <c r="A22" s="4" t="inlineStr">
        <is>
          <t>ajax</t>
        </is>
      </c>
      <c r="B22" s="13" t="n">
        <v>0</v>
      </c>
      <c r="C22" s="13" t="n">
        <v>2</v>
      </c>
      <c r="D22" s="13" t="n">
        <v>0</v>
      </c>
      <c r="E22" s="13" t="n">
        <v>0</v>
      </c>
      <c r="F22" s="13">
        <f>SUM(B22:E22)</f>
        <v/>
      </c>
      <c r="G22" s="21">
        <f>B22*Assumptions!$B$5+C22*Assumptions!$B$6+D22*Assumptions!$B$7+E22*Assumptions!$B$8</f>
        <v/>
      </c>
    </row>
    <row r="23">
      <c r="A23" s="4" t="inlineStr">
        <is>
          <t>CcpcClearing</t>
        </is>
      </c>
      <c r="B23" s="13" t="n">
        <v>0</v>
      </c>
      <c r="C23" s="13" t="n">
        <v>0</v>
      </c>
      <c r="D23" s="13" t="n">
        <v>0</v>
      </c>
      <c r="E23" s="13" t="n">
        <v>1</v>
      </c>
      <c r="F23" s="13">
        <f>SUM(B23:E23)</f>
        <v/>
      </c>
      <c r="G23" s="21">
        <f>B23*Assumptions!$B$5+C23*Assumptions!$B$6+D23*Assumptions!$B$7+E23*Assumptions!$B$8</f>
        <v/>
      </c>
    </row>
    <row r="24">
      <c r="A24" s="4" t="inlineStr">
        <is>
          <t>ServiceBranch</t>
        </is>
      </c>
      <c r="B24" s="13" t="n">
        <v>1</v>
      </c>
      <c r="C24" s="13" t="n">
        <v>0</v>
      </c>
      <c r="D24" s="13" t="n">
        <v>0</v>
      </c>
      <c r="E24" s="13" t="n">
        <v>0</v>
      </c>
      <c r="F24" s="13">
        <f>SUM(B24:E24)</f>
        <v/>
      </c>
      <c r="G24" s="21">
        <f>B24*Assumptions!$B$5+C24*Assumptions!$B$6+D24*Assumptions!$B$7+E24*Assumptions!$B$8</f>
        <v/>
      </c>
    </row>
    <row r="25">
      <c r="A25" s="22" t="inlineStr">
        <is>
          <t>TOTAL</t>
        </is>
      </c>
      <c r="B25" s="23">
        <f>SUM(B5:B24)</f>
        <v/>
      </c>
      <c r="C25" s="23">
        <f>SUM(C5:C24)</f>
        <v/>
      </c>
      <c r="D25" s="23">
        <f>SUM(D5:D24)</f>
        <v/>
      </c>
      <c r="E25" s="23">
        <f>SUM(E5:E24)</f>
        <v/>
      </c>
      <c r="F25" s="23">
        <f>SUM(F5:F24)</f>
        <v/>
      </c>
      <c r="G25" s="24">
        <f>SUM(G5:G24)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52" customWidth="1" min="4" max="4"/>
    <col width="18" customWidth="1" min="5" max="5"/>
    <col width="9" customWidth="1" min="6" max="6"/>
  </cols>
  <sheetData>
    <row r="1">
      <c r="A1" s="1" t="inlineStr">
        <is>
          <t>Full Screen Inventory (1 row per .aspx)</t>
        </is>
      </c>
    </row>
    <row r="2">
      <c r="A2" s="3" t="inlineStr">
        <is>
          <t>Source: legacy Trust.Bank.Publish code scan, 2026-06-17. 'Suggested complexity' is heuristic — confirm in the discovery phase.</t>
        </is>
      </c>
    </row>
    <row r="4">
      <c r="A4" s="9" t="inlineStr">
        <is>
          <t>Module</t>
        </is>
      </c>
      <c r="B4" s="9" t="inlineStr">
        <is>
          <t>Sub-area</t>
        </is>
      </c>
      <c r="C4" s="9" t="inlineStr">
        <is>
          <t>Screen</t>
        </is>
      </c>
      <c r="D4" s="9" t="inlineStr">
        <is>
          <t>Relative path</t>
        </is>
      </c>
      <c r="E4" s="9" t="inlineStr">
        <is>
          <t>Suggested complexity</t>
        </is>
      </c>
      <c r="F4" s="9" t="inlineStr">
        <is>
          <t>Est. pd</t>
        </is>
      </c>
    </row>
    <row r="5">
      <c r="A5" t="inlineStr">
        <is>
          <t>Authentication</t>
        </is>
      </c>
      <c r="B5" t="inlineStr"/>
      <c r="C5" t="inlineStr">
        <is>
          <t>ChooseModule.aspx</t>
        </is>
      </c>
      <c r="D5" t="inlineStr">
        <is>
          <t>Authentication/ChooseModule.aspx</t>
        </is>
      </c>
      <c r="E5" t="inlineStr">
        <is>
          <t>Simple</t>
        </is>
      </c>
      <c r="F5" s="25">
        <f>VLOOKUP(E5,Assumptions!$A$5:$B$8,2,0)</f>
        <v/>
      </c>
    </row>
    <row r="6">
      <c r="A6" t="inlineStr">
        <is>
          <t>Authentication</t>
        </is>
      </c>
      <c r="B6" t="inlineStr"/>
      <c r="C6" t="inlineStr">
        <is>
          <t>MainMenu.aspx</t>
        </is>
      </c>
      <c r="D6" t="inlineStr">
        <is>
          <t>Authentication/MainMenu.aspx</t>
        </is>
      </c>
      <c r="E6" t="inlineStr">
        <is>
          <t>Simple</t>
        </is>
      </c>
      <c r="F6" s="25">
        <f>VLOOKUP(E6,Assumptions!$A$5:$B$8,2,0)</f>
        <v/>
      </c>
    </row>
    <row r="7">
      <c r="A7" t="inlineStr">
        <is>
          <t>Authentication</t>
        </is>
      </c>
      <c r="B7" t="inlineStr"/>
      <c r="C7" t="inlineStr">
        <is>
          <t>external_module_handler.aspx</t>
        </is>
      </c>
      <c r="D7" t="inlineStr">
        <is>
          <t>Authentication/external_module_handler.aspx</t>
        </is>
      </c>
      <c r="E7" t="inlineStr">
        <is>
          <t>Simple</t>
        </is>
      </c>
      <c r="F7" s="25">
        <f>VLOOKUP(E7,Assumptions!$A$5:$B$8,2,0)</f>
        <v/>
      </c>
    </row>
    <row r="8">
      <c r="A8" t="inlineStr">
        <is>
          <t>Authentication</t>
        </is>
      </c>
      <c r="B8" t="inlineStr">
        <is>
          <t>qrlogin</t>
        </is>
      </c>
      <c r="C8" t="inlineStr">
        <is>
          <t>login_qr_verify.aspx</t>
        </is>
      </c>
      <c r="D8" t="inlineStr">
        <is>
          <t>Authentication/qrlogin/login_qr_verify.aspx</t>
        </is>
      </c>
      <c r="E8" t="inlineStr">
        <is>
          <t>Simple</t>
        </is>
      </c>
      <c r="F8" s="25">
        <f>VLOOKUP(E8,Assumptions!$A$5:$B$8,2,0)</f>
        <v/>
      </c>
    </row>
    <row r="9">
      <c r="A9" t="inlineStr">
        <is>
          <t>Authentication</t>
        </is>
      </c>
      <c r="B9" t="inlineStr">
        <is>
          <t>qrlogin</t>
        </is>
      </c>
      <c r="C9" t="inlineStr">
        <is>
          <t>login_qr_verify_handler.aspx</t>
        </is>
      </c>
      <c r="D9" t="inlineStr">
        <is>
          <t>Authentication/qrlogin/login_qr_verify_handler.aspx</t>
        </is>
      </c>
      <c r="E9" t="inlineStr">
        <is>
          <t>Simple</t>
        </is>
      </c>
      <c r="F9" s="25">
        <f>VLOOKUP(E9,Assumptions!$A$5:$B$8,2,0)</f>
        <v/>
      </c>
    </row>
    <row r="10">
      <c r="A10" t="inlineStr">
        <is>
          <t>Authentication</t>
        </is>
      </c>
      <c r="B10" t="inlineStr">
        <is>
          <t>qrlogin</t>
        </is>
      </c>
      <c r="C10" t="inlineStr">
        <is>
          <t>qrlogin_register.aspx</t>
        </is>
      </c>
      <c r="D10" t="inlineStr">
        <is>
          <t>Authentication/qrlogin/qrlogin_register.aspx</t>
        </is>
      </c>
      <c r="E10" t="inlineStr">
        <is>
          <t>Simple</t>
        </is>
      </c>
      <c r="F10" s="25">
        <f>VLOOKUP(E10,Assumptions!$A$5:$B$8,2,0)</f>
        <v/>
      </c>
    </row>
    <row r="11">
      <c r="A11" t="inlineStr">
        <is>
          <t>Authentication</t>
        </is>
      </c>
      <c r="B11" t="inlineStr">
        <is>
          <t>qrlogin</t>
        </is>
      </c>
      <c r="C11" t="inlineStr">
        <is>
          <t>qrlogin_register_handler.aspx</t>
        </is>
      </c>
      <c r="D11" t="inlineStr">
        <is>
          <t>Authentication/qrlogin/qrlogin_register_handler.aspx</t>
        </is>
      </c>
      <c r="E11" t="inlineStr">
        <is>
          <t>Simple</t>
        </is>
      </c>
      <c r="F11" s="25">
        <f>VLOOKUP(E11,Assumptions!$A$5:$B$8,2,0)</f>
        <v/>
      </c>
    </row>
    <row r="12">
      <c r="A12" t="inlineStr">
        <is>
          <t>CcpcClearing</t>
        </is>
      </c>
      <c r="B12" t="inlineStr">
        <is>
          <t>CCPCClearingReports</t>
        </is>
      </c>
      <c r="C12" t="inlineStr">
        <is>
          <t>ReportSettings.aspx</t>
        </is>
      </c>
      <c r="D12" t="inlineStr">
        <is>
          <t>CcpcClearing/CCPCClearingReports/ReportSettings.aspx</t>
        </is>
      </c>
      <c r="E12" t="inlineStr">
        <is>
          <t>Report</t>
        </is>
      </c>
      <c r="F12" s="25">
        <f>VLOOKUP(E12,Assumptions!$A$5:$B$8,2,0)</f>
        <v/>
      </c>
    </row>
    <row r="13">
      <c r="A13" t="inlineStr">
        <is>
          <t>Config</t>
        </is>
      </c>
      <c r="B13" t="inlineStr"/>
      <c r="C13" t="inlineStr">
        <is>
          <t>AgriReportConfig.aspx</t>
        </is>
      </c>
      <c r="D13" t="inlineStr">
        <is>
          <t>Config/AgriReportConfig.aspx</t>
        </is>
      </c>
      <c r="E13" t="inlineStr">
        <is>
          <t>Report</t>
        </is>
      </c>
      <c r="F13" s="25">
        <f>VLOOKUP(E13,Assumptions!$A$5:$B$8,2,0)</f>
        <v/>
      </c>
    </row>
    <row r="14">
      <c r="A14" t="inlineStr">
        <is>
          <t>Config</t>
        </is>
      </c>
      <c r="B14" t="inlineStr"/>
      <c r="C14" t="inlineStr">
        <is>
          <t>SGFReportConfig.aspx</t>
        </is>
      </c>
      <c r="D14" t="inlineStr">
        <is>
          <t>Config/SGFReportConfig.aspx</t>
        </is>
      </c>
      <c r="E14" t="inlineStr">
        <is>
          <t>Report</t>
        </is>
      </c>
      <c r="F14" s="25">
        <f>VLOOKUP(E14,Assumptions!$A$5:$B$8,2,0)</f>
        <v/>
      </c>
    </row>
    <row r="15">
      <c r="A15" t="inlineStr">
        <is>
          <t>Config</t>
        </is>
      </c>
      <c r="B15" t="inlineStr"/>
      <c r="C15" t="inlineStr">
        <is>
          <t>SGFSubMemconnUsers.aspx</t>
        </is>
      </c>
      <c r="D15" t="inlineStr">
        <is>
          <t>Config/SGFSubMemconnUsers.aspx</t>
        </is>
      </c>
      <c r="E15" t="inlineStr">
        <is>
          <t>Simple</t>
        </is>
      </c>
      <c r="F15" s="25">
        <f>VLOOKUP(E15,Assumptions!$A$5:$B$8,2,0)</f>
        <v/>
      </c>
    </row>
    <row r="16">
      <c r="A16" t="inlineStr">
        <is>
          <t>Config</t>
        </is>
      </c>
      <c r="B16" t="inlineStr"/>
      <c r="C16" t="inlineStr">
        <is>
          <t>UpdateBlockedUser.aspx</t>
        </is>
      </c>
      <c r="D16" t="inlineStr">
        <is>
          <t>Config/UpdateBlockedUser.aspx</t>
        </is>
      </c>
      <c r="E16" t="inlineStr">
        <is>
          <t>Simple</t>
        </is>
      </c>
      <c r="F16" s="25">
        <f>VLOOKUP(E16,Assumptions!$A$5:$B$8,2,0)</f>
        <v/>
      </c>
    </row>
    <row r="17">
      <c r="A17" t="inlineStr">
        <is>
          <t>Config</t>
        </is>
      </c>
      <c r="B17" t="inlineStr"/>
      <c r="C17" t="inlineStr">
        <is>
          <t>b_MarqueeAlert.aspx</t>
        </is>
      </c>
      <c r="D17" t="inlineStr">
        <is>
          <t>Config/b_MarqueeAlert.aspx</t>
        </is>
      </c>
      <c r="E17" t="inlineStr">
        <is>
          <t>Simple</t>
        </is>
      </c>
      <c r="F17" s="25">
        <f>VLOOKUP(E17,Assumptions!$A$5:$B$8,2,0)</f>
        <v/>
      </c>
    </row>
    <row r="18">
      <c r="A18" t="inlineStr">
        <is>
          <t>Config</t>
        </is>
      </c>
      <c r="B18" t="inlineStr"/>
      <c r="C18" t="inlineStr">
        <is>
          <t>connectedUsers.aspx</t>
        </is>
      </c>
      <c r="D18" t="inlineStr">
        <is>
          <t>Config/connectedUsers.aspx</t>
        </is>
      </c>
      <c r="E18" t="inlineStr">
        <is>
          <t>Simple</t>
        </is>
      </c>
      <c r="F18" s="25">
        <f>VLOOKUP(E18,Assumptions!$A$5:$B$8,2,0)</f>
        <v/>
      </c>
    </row>
    <row r="19">
      <c r="A19" t="inlineStr">
        <is>
          <t>Config</t>
        </is>
      </c>
      <c r="B19" t="inlineStr"/>
      <c r="C19" t="inlineStr">
        <is>
          <t>g_CBSShortcutsPopup.aspx</t>
        </is>
      </c>
      <c r="D19" t="inlineStr">
        <is>
          <t>Config/g_CBSShortcutsPopup.aspx</t>
        </is>
      </c>
      <c r="E19" t="inlineStr">
        <is>
          <t>Simple</t>
        </is>
      </c>
      <c r="F19" s="25">
        <f>VLOOKUP(E19,Assumptions!$A$5:$B$8,2,0)</f>
        <v/>
      </c>
    </row>
    <row r="20">
      <c r="A20" t="inlineStr">
        <is>
          <t>Config</t>
        </is>
      </c>
      <c r="B20" t="inlineStr"/>
      <c r="C20" t="inlineStr">
        <is>
          <t>protectapp.aspx</t>
        </is>
      </c>
      <c r="D20" t="inlineStr">
        <is>
          <t>Config/protectapp.aspx</t>
        </is>
      </c>
      <c r="E20" t="inlineStr">
        <is>
          <t>Simple</t>
        </is>
      </c>
      <c r="F20" s="25">
        <f>VLOOKUP(E20,Assumptions!$A$5:$B$8,2,0)</f>
        <v/>
      </c>
    </row>
    <row r="21">
      <c r="A21" t="inlineStr">
        <is>
          <t>Customer360</t>
        </is>
      </c>
      <c r="B21" t="inlineStr"/>
      <c r="C21" t="inlineStr">
        <is>
          <t>Customer360View_v1.aspx</t>
        </is>
      </c>
      <c r="D21" t="inlineStr">
        <is>
          <t>Customer360/Customer360View_v1.aspx</t>
        </is>
      </c>
      <c r="E21" t="inlineStr">
        <is>
          <t>Medium</t>
        </is>
      </c>
      <c r="F21" s="25">
        <f>VLOOKUP(E21,Assumptions!$A$5:$B$8,2,0)</f>
        <v/>
      </c>
    </row>
    <row r="22">
      <c r="A22" t="inlineStr">
        <is>
          <t>Customer360</t>
        </is>
      </c>
      <c r="B22" t="inlineStr"/>
      <c r="C22" t="inlineStr">
        <is>
          <t>JointDet360.aspx</t>
        </is>
      </c>
      <c r="D22" t="inlineStr">
        <is>
          <t>Customer360/JointDet360.aspx</t>
        </is>
      </c>
      <c r="E22" t="inlineStr">
        <is>
          <t>Medium</t>
        </is>
      </c>
      <c r="F22" s="25">
        <f>VLOOKUP(E22,Assumptions!$A$5:$B$8,2,0)</f>
        <v/>
      </c>
    </row>
    <row r="23">
      <c r="A23" t="inlineStr">
        <is>
          <t>(root)</t>
        </is>
      </c>
      <c r="B23" t="inlineStr"/>
      <c r="C23" t="inlineStr">
        <is>
          <t>DashBoard.aspx</t>
        </is>
      </c>
      <c r="D23" t="inlineStr">
        <is>
          <t>DashBoard.aspx</t>
        </is>
      </c>
      <c r="E23" t="inlineStr">
        <is>
          <t>Simple</t>
        </is>
      </c>
      <c r="F23" s="25">
        <f>VLOOKUP(E23,Assumptions!$A$5:$B$8,2,0)</f>
        <v/>
      </c>
    </row>
    <row r="24">
      <c r="A24" t="inlineStr">
        <is>
          <t>(root)</t>
        </is>
      </c>
      <c r="B24" t="inlineStr"/>
      <c r="C24" t="inlineStr">
        <is>
          <t>EmailCheck.aspx</t>
        </is>
      </c>
      <c r="D24" t="inlineStr">
        <is>
          <t>EmailCheck.aspx</t>
        </is>
      </c>
      <c r="E24" t="inlineStr">
        <is>
          <t>Simple</t>
        </is>
      </c>
      <c r="F24" s="25">
        <f>VLOOKUP(E24,Assumptions!$A$5:$B$8,2,0)</f>
        <v/>
      </c>
    </row>
    <row r="25">
      <c r="A25" t="inlineStr">
        <is>
          <t>EmployeeDemand</t>
        </is>
      </c>
      <c r="B25" t="inlineStr"/>
      <c r="C25" t="inlineStr">
        <is>
          <t>EMPMemberResignTransaction.aspx</t>
        </is>
      </c>
      <c r="D25" t="inlineStr">
        <is>
          <t>EmployeeDemand/EMPMemberResignTransaction.aspx</t>
        </is>
      </c>
      <c r="E25" t="inlineStr">
        <is>
          <t>Medium</t>
        </is>
      </c>
      <c r="F25" s="25">
        <f>VLOOKUP(E25,Assumptions!$A$5:$B$8,2,0)</f>
        <v/>
      </c>
    </row>
    <row r="26">
      <c r="A26" t="inlineStr">
        <is>
          <t>EmployeeDemand</t>
        </is>
      </c>
      <c r="B26" t="inlineStr"/>
      <c r="C26" t="inlineStr">
        <is>
          <t>EMPRecoveryMaintenance.aspx</t>
        </is>
      </c>
      <c r="D26" t="inlineStr">
        <is>
          <t>EmployeeDemand/EMPRecoveryMaintenance.aspx</t>
        </is>
      </c>
      <c r="E26" t="inlineStr">
        <is>
          <t>Medium</t>
        </is>
      </c>
      <c r="F26" s="25">
        <f>VLOOKUP(E26,Assumptions!$A$5:$B$8,2,0)</f>
        <v/>
      </c>
    </row>
    <row r="27">
      <c r="A27" t="inlineStr">
        <is>
          <t>EmployeeDemand</t>
        </is>
      </c>
      <c r="B27" t="inlineStr"/>
      <c r="C27" t="inlineStr">
        <is>
          <t>EMPSuretyDemandDepositAccount.aspx</t>
        </is>
      </c>
      <c r="D27" t="inlineStr">
        <is>
          <t>EmployeeDemand/EMPSuretyDemandDepositAccount.aspx</t>
        </is>
      </c>
      <c r="E27" t="inlineStr">
        <is>
          <t>Medium</t>
        </is>
      </c>
      <c r="F27" s="25">
        <f>VLOOKUP(E27,Assumptions!$A$5:$B$8,2,0)</f>
        <v/>
      </c>
    </row>
    <row r="28">
      <c r="A28" t="inlineStr">
        <is>
          <t>EmployeeDemand</t>
        </is>
      </c>
      <c r="B28" t="inlineStr"/>
      <c r="C28" t="inlineStr">
        <is>
          <t>EmpDemandPostMemberWise.aspx</t>
        </is>
      </c>
      <c r="D28" t="inlineStr">
        <is>
          <t>EmployeeDemand/EmpDemandPostMemberWise.aspx</t>
        </is>
      </c>
      <c r="E28" t="inlineStr">
        <is>
          <t>Medium</t>
        </is>
      </c>
      <c r="F28" s="25">
        <f>VLOOKUP(E28,Assumptions!$A$5:$B$8,2,0)</f>
        <v/>
      </c>
    </row>
    <row r="29">
      <c r="A29" t="inlineStr">
        <is>
          <t>EmployeeDemand</t>
        </is>
      </c>
      <c r="B29" t="inlineStr"/>
      <c r="C29" t="inlineStr">
        <is>
          <t>EmpExceptionalDemandAmount.aspx</t>
        </is>
      </c>
      <c r="D29" t="inlineStr">
        <is>
          <t>EmployeeDemand/EmpExceptionalDemandAmount.aspx</t>
        </is>
      </c>
      <c r="E29" t="inlineStr">
        <is>
          <t>Medium</t>
        </is>
      </c>
      <c r="F29" s="25">
        <f>VLOOKUP(E29,Assumptions!$A$5:$B$8,2,0)</f>
        <v/>
      </c>
    </row>
    <row r="30">
      <c r="A30" t="inlineStr">
        <is>
          <t>EmployeeDemand</t>
        </is>
      </c>
      <c r="B30" t="inlineStr"/>
      <c r="C30" t="inlineStr">
        <is>
          <t>EmpMemDemandPostConfig.aspx</t>
        </is>
      </c>
      <c r="D30" t="inlineStr">
        <is>
          <t>EmployeeDemand/EmpMemDemandPostConfig.aspx</t>
        </is>
      </c>
      <c r="E30" t="inlineStr">
        <is>
          <t>Medium</t>
        </is>
      </c>
      <c r="F30" s="25">
        <f>VLOOKUP(E30,Assumptions!$A$5:$B$8,2,0)</f>
        <v/>
      </c>
    </row>
    <row r="31">
      <c r="A31" t="inlineStr">
        <is>
          <t>EmployeeDemand</t>
        </is>
      </c>
      <c r="B31" t="inlineStr"/>
      <c r="C31" t="inlineStr">
        <is>
          <t>EmpMemberSalaryTransaction.aspx</t>
        </is>
      </c>
      <c r="D31" t="inlineStr">
        <is>
          <t>EmployeeDemand/EmpMemberSalaryTransaction.aspx</t>
        </is>
      </c>
      <c r="E31" t="inlineStr">
        <is>
          <t>Medium</t>
        </is>
      </c>
      <c r="F31" s="25">
        <f>VLOOKUP(E31,Assumptions!$A$5:$B$8,2,0)</f>
        <v/>
      </c>
    </row>
    <row r="32">
      <c r="A32" t="inlineStr">
        <is>
          <t>EmployeeDemand</t>
        </is>
      </c>
      <c r="B32" t="inlineStr"/>
      <c r="C32" t="inlineStr">
        <is>
          <t>EmpSocBranch.aspx</t>
        </is>
      </c>
      <c r="D32" t="inlineStr">
        <is>
          <t>EmployeeDemand/EmpSocBranch.aspx</t>
        </is>
      </c>
      <c r="E32" t="inlineStr">
        <is>
          <t>Medium</t>
        </is>
      </c>
      <c r="F32" s="25">
        <f>VLOOKUP(E32,Assumptions!$A$5:$B$8,2,0)</f>
        <v/>
      </c>
    </row>
    <row r="33">
      <c r="A33" t="inlineStr">
        <is>
          <t>EmployeeDemand</t>
        </is>
      </c>
      <c r="B33" t="inlineStr"/>
      <c r="C33" t="inlineStr">
        <is>
          <t>EmpSocCompMaster.aspx</t>
        </is>
      </c>
      <c r="D33" t="inlineStr">
        <is>
          <t>EmployeeDemand/EmpSocCompMaster.aspx</t>
        </is>
      </c>
      <c r="E33" t="inlineStr">
        <is>
          <t>Medium</t>
        </is>
      </c>
      <c r="F33" s="25">
        <f>VLOOKUP(E33,Assumptions!$A$5:$B$8,2,0)</f>
        <v/>
      </c>
    </row>
    <row r="34">
      <c r="A34" t="inlineStr">
        <is>
          <t>EmployeeDemand</t>
        </is>
      </c>
      <c r="B34" t="inlineStr"/>
      <c r="C34" t="inlineStr">
        <is>
          <t>EmpSocDemandConfiguration.aspx</t>
        </is>
      </c>
      <c r="D34" t="inlineStr">
        <is>
          <t>EmployeeDemand/EmpSocDemandConfiguration.aspx</t>
        </is>
      </c>
      <c r="E34" t="inlineStr">
        <is>
          <t>Medium</t>
        </is>
      </c>
      <c r="F34" s="25">
        <f>VLOOKUP(E34,Assumptions!$A$5:$B$8,2,0)</f>
        <v/>
      </c>
    </row>
    <row r="35">
      <c r="A35" t="inlineStr">
        <is>
          <t>EmployeeDemand</t>
        </is>
      </c>
      <c r="B35" t="inlineStr"/>
      <c r="C35" t="inlineStr">
        <is>
          <t>EmpSocDivision.aspx</t>
        </is>
      </c>
      <c r="D35" t="inlineStr">
        <is>
          <t>EmployeeDemand/EmpSocDivision.aspx</t>
        </is>
      </c>
      <c r="E35" t="inlineStr">
        <is>
          <t>Medium</t>
        </is>
      </c>
      <c r="F35" s="25">
        <f>VLOOKUP(E35,Assumptions!$A$5:$B$8,2,0)</f>
        <v/>
      </c>
    </row>
    <row r="36">
      <c r="A36" t="inlineStr">
        <is>
          <t>EmployeeDemand</t>
        </is>
      </c>
      <c r="B36" t="inlineStr"/>
      <c r="C36" t="inlineStr">
        <is>
          <t>EmpSocMember.aspx</t>
        </is>
      </c>
      <c r="D36" t="inlineStr">
        <is>
          <t>EmployeeDemand/EmpSocMember.aspx</t>
        </is>
      </c>
      <c r="E36" t="inlineStr">
        <is>
          <t>Medium</t>
        </is>
      </c>
      <c r="F36" s="25">
        <f>VLOOKUP(E36,Assumptions!$A$5:$B$8,2,0)</f>
        <v/>
      </c>
    </row>
    <row r="37">
      <c r="A37" t="inlineStr">
        <is>
          <t>EmployeeDemand</t>
        </is>
      </c>
      <c r="B37" t="inlineStr"/>
      <c r="C37" t="inlineStr">
        <is>
          <t>EmpSocRegion.aspx</t>
        </is>
      </c>
      <c r="D37" t="inlineStr">
        <is>
          <t>EmployeeDemand/EmpSocRegion.aspx</t>
        </is>
      </c>
      <c r="E37" t="inlineStr">
        <is>
          <t>Medium</t>
        </is>
      </c>
      <c r="F37" s="25">
        <f>VLOOKUP(E37,Assumptions!$A$5:$B$8,2,0)</f>
        <v/>
      </c>
    </row>
    <row r="38">
      <c r="A38" t="inlineStr">
        <is>
          <t>EmployeeDemand</t>
        </is>
      </c>
      <c r="B38" t="inlineStr"/>
      <c r="C38" t="inlineStr">
        <is>
          <t>EmpSocSateliteOffice.aspx</t>
        </is>
      </c>
      <c r="D38" t="inlineStr">
        <is>
          <t>EmployeeDemand/EmpSocSateliteOffice.aspx</t>
        </is>
      </c>
      <c r="E38" t="inlineStr">
        <is>
          <t>Medium</t>
        </is>
      </c>
      <c r="F38" s="25">
        <f>VLOOKUP(E38,Assumptions!$A$5:$B$8,2,0)</f>
        <v/>
      </c>
    </row>
    <row r="39">
      <c r="A39" t="inlineStr">
        <is>
          <t>EmployeeDemand</t>
        </is>
      </c>
      <c r="B39" t="inlineStr"/>
      <c r="C39" t="inlineStr">
        <is>
          <t>EmployeeDemandDetails.aspx</t>
        </is>
      </c>
      <c r="D39" t="inlineStr">
        <is>
          <t>EmployeeDemand/EmployeeDemandDetails.aspx</t>
        </is>
      </c>
      <c r="E39" t="inlineStr">
        <is>
          <t>Medium</t>
        </is>
      </c>
      <c r="F39" s="25">
        <f>VLOOKUP(E39,Assumptions!$A$5:$B$8,2,0)</f>
        <v/>
      </c>
    </row>
    <row r="40">
      <c r="A40" t="inlineStr">
        <is>
          <t>EmployeeDemand</t>
        </is>
      </c>
      <c r="B40" t="inlineStr"/>
      <c r="C40" t="inlineStr">
        <is>
          <t>EmployeeDemandGeneration.aspx</t>
        </is>
      </c>
      <c r="D40" t="inlineStr">
        <is>
          <t>EmployeeDemand/EmployeeDemandGeneration.aspx</t>
        </is>
      </c>
      <c r="E40" t="inlineStr">
        <is>
          <t>Medium</t>
        </is>
      </c>
      <c r="F40" s="25">
        <f>VLOOKUP(E40,Assumptions!$A$5:$B$8,2,0)</f>
        <v/>
      </c>
    </row>
    <row r="41">
      <c r="A41" t="inlineStr">
        <is>
          <t>EmployeeDemand</t>
        </is>
      </c>
      <c r="B41" t="inlineStr"/>
      <c r="C41" t="inlineStr">
        <is>
          <t>EmployeeDemandImport.aspx</t>
        </is>
      </c>
      <c r="D41" t="inlineStr">
        <is>
          <t>EmployeeDemand/EmployeeDemandImport.aspx</t>
        </is>
      </c>
      <c r="E41" t="inlineStr">
        <is>
          <t>Medium</t>
        </is>
      </c>
      <c r="F41" s="25">
        <f>VLOOKUP(E41,Assumptions!$A$5:$B$8,2,0)</f>
        <v/>
      </c>
    </row>
    <row r="42">
      <c r="A42" t="inlineStr">
        <is>
          <t>EmployeeDemand</t>
        </is>
      </c>
      <c r="B42" t="inlineStr"/>
      <c r="C42" t="inlineStr">
        <is>
          <t>EmployeeDemandModify.aspx</t>
        </is>
      </c>
      <c r="D42" t="inlineStr">
        <is>
          <t>EmployeeDemand/EmployeeDemandModify.aspx</t>
        </is>
      </c>
      <c r="E42" t="inlineStr">
        <is>
          <t>Medium</t>
        </is>
      </c>
      <c r="F42" s="25">
        <f>VLOOKUP(E42,Assumptions!$A$5:$B$8,2,0)</f>
        <v/>
      </c>
    </row>
    <row r="43">
      <c r="A43" t="inlineStr">
        <is>
          <t>EmployeeDemand</t>
        </is>
      </c>
      <c r="B43" t="inlineStr"/>
      <c r="C43" t="inlineStr">
        <is>
          <t>EmployeeDepartment.aspx</t>
        </is>
      </c>
      <c r="D43" t="inlineStr">
        <is>
          <t>EmployeeDemand/EmployeeDepartment.aspx</t>
        </is>
      </c>
      <c r="E43" t="inlineStr">
        <is>
          <t>Medium</t>
        </is>
      </c>
      <c r="F43" s="25">
        <f>VLOOKUP(E43,Assumptions!$A$5:$B$8,2,0)</f>
        <v/>
      </c>
    </row>
    <row r="44">
      <c r="A44" t="inlineStr">
        <is>
          <t>EmployeeDemand</t>
        </is>
      </c>
      <c r="B44" t="inlineStr"/>
      <c r="C44" t="inlineStr">
        <is>
          <t>EmployeeMemberTransfer.aspx</t>
        </is>
      </c>
      <c r="D44" t="inlineStr">
        <is>
          <t>EmployeeDemand/EmployeeMemberTransfer.aspx</t>
        </is>
      </c>
      <c r="E44" t="inlineStr">
        <is>
          <t>Medium</t>
        </is>
      </c>
      <c r="F44" s="25">
        <f>VLOOKUP(E44,Assumptions!$A$5:$B$8,2,0)</f>
        <v/>
      </c>
    </row>
    <row r="45">
      <c r="A45" t="inlineStr">
        <is>
          <t>EmployeeDemand</t>
        </is>
      </c>
      <c r="B45" t="inlineStr"/>
      <c r="C45" t="inlineStr">
        <is>
          <t>UpdateEmployeeDemadAmount.aspx</t>
        </is>
      </c>
      <c r="D45" t="inlineStr">
        <is>
          <t>EmployeeDemand/UpdateEmployeeDemadAmount.aspx</t>
        </is>
      </c>
      <c r="E45" t="inlineStr">
        <is>
          <t>Medium</t>
        </is>
      </c>
      <c r="F45" s="25">
        <f>VLOOKUP(E45,Assumptions!$A$5:$B$8,2,0)</f>
        <v/>
      </c>
    </row>
    <row r="46">
      <c r="A46" t="inlineStr">
        <is>
          <t>HO</t>
        </is>
      </c>
      <c r="B46" t="inlineStr">
        <is>
          <t>Admin</t>
        </is>
      </c>
      <c r="C46" t="inlineStr">
        <is>
          <t>A_User.aspx</t>
        </is>
      </c>
      <c r="D46" t="inlineStr">
        <is>
          <t>HO/Admin/A_User.aspx</t>
        </is>
      </c>
      <c r="E46" t="inlineStr">
        <is>
          <t>Medium</t>
        </is>
      </c>
      <c r="F46" s="25">
        <f>VLOOKUP(E46,Assumptions!$A$5:$B$8,2,0)</f>
        <v/>
      </c>
    </row>
    <row r="47">
      <c r="A47" t="inlineStr">
        <is>
          <t>HO</t>
        </is>
      </c>
      <c r="B47" t="inlineStr">
        <is>
          <t>Admin</t>
        </is>
      </c>
      <c r="C47" t="inlineStr">
        <is>
          <t>Audit.aspx</t>
        </is>
      </c>
      <c r="D47" t="inlineStr">
        <is>
          <t>HO/Admin/Audit.aspx</t>
        </is>
      </c>
      <c r="E47" t="inlineStr">
        <is>
          <t>Medium</t>
        </is>
      </c>
      <c r="F47" s="25">
        <f>VLOOKUP(E47,Assumptions!$A$5:$B$8,2,0)</f>
        <v/>
      </c>
    </row>
    <row r="48">
      <c r="A48" t="inlineStr">
        <is>
          <t>HO</t>
        </is>
      </c>
      <c r="B48" t="inlineStr">
        <is>
          <t>Admin</t>
        </is>
      </c>
      <c r="C48" t="inlineStr">
        <is>
          <t>AuditDetails.aspx</t>
        </is>
      </c>
      <c r="D48" t="inlineStr">
        <is>
          <t>HO/Admin/AuditDetails.aspx</t>
        </is>
      </c>
      <c r="E48" t="inlineStr">
        <is>
          <t>Medium</t>
        </is>
      </c>
      <c r="F48" s="25">
        <f>VLOOKUP(E48,Assumptions!$A$5:$B$8,2,0)</f>
        <v/>
      </c>
    </row>
    <row r="49">
      <c r="A49" t="inlineStr">
        <is>
          <t>HO</t>
        </is>
      </c>
      <c r="B49" t="inlineStr">
        <is>
          <t>Admin</t>
        </is>
      </c>
      <c r="C49" t="inlineStr">
        <is>
          <t>AuditView.aspx</t>
        </is>
      </c>
      <c r="D49" t="inlineStr">
        <is>
          <t>HO/Admin/AuditView.aspx</t>
        </is>
      </c>
      <c r="E49" t="inlineStr">
        <is>
          <t>Medium</t>
        </is>
      </c>
      <c r="F49" s="25">
        <f>VLOOKUP(E49,Assumptions!$A$5:$B$8,2,0)</f>
        <v/>
      </c>
    </row>
    <row r="50">
      <c r="A50" t="inlineStr">
        <is>
          <t>HO</t>
        </is>
      </c>
      <c r="B50" t="inlineStr">
        <is>
          <t>Admin</t>
        </is>
      </c>
      <c r="C50" t="inlineStr">
        <is>
          <t>ChangePassword.aspx</t>
        </is>
      </c>
      <c r="D50" t="inlineStr">
        <is>
          <t>HO/Admin/ChangePassword.aspx</t>
        </is>
      </c>
      <c r="E50" t="inlineStr">
        <is>
          <t>Medium</t>
        </is>
      </c>
      <c r="F50" s="25">
        <f>VLOOKUP(E50,Assumptions!$A$5:$B$8,2,0)</f>
        <v/>
      </c>
    </row>
    <row r="51">
      <c r="A51" t="inlineStr">
        <is>
          <t>HO</t>
        </is>
      </c>
      <c r="B51" t="inlineStr">
        <is>
          <t>Admin</t>
        </is>
      </c>
      <c r="C51" t="inlineStr">
        <is>
          <t>ForgotPassword.aspx</t>
        </is>
      </c>
      <c r="D51" t="inlineStr">
        <is>
          <t>HO/Admin/ForgotPassword.aspx</t>
        </is>
      </c>
      <c r="E51" t="inlineStr">
        <is>
          <t>Medium</t>
        </is>
      </c>
      <c r="F51" s="25">
        <f>VLOOKUP(E51,Assumptions!$A$5:$B$8,2,0)</f>
        <v/>
      </c>
    </row>
    <row r="52">
      <c r="A52" t="inlineStr">
        <is>
          <t>HO</t>
        </is>
      </c>
      <c r="B52" t="inlineStr">
        <is>
          <t>Admin</t>
        </is>
      </c>
      <c r="C52" t="inlineStr">
        <is>
          <t>PasswordPolicyConfig.aspx</t>
        </is>
      </c>
      <c r="D52" t="inlineStr">
        <is>
          <t>HO/Admin/PasswordPolicyConfig.aspx</t>
        </is>
      </c>
      <c r="E52" t="inlineStr">
        <is>
          <t>Medium</t>
        </is>
      </c>
      <c r="F52" s="25">
        <f>VLOOKUP(E52,Assumptions!$A$5:$B$8,2,0)</f>
        <v/>
      </c>
    </row>
    <row r="53">
      <c r="A53" t="inlineStr">
        <is>
          <t>HO</t>
        </is>
      </c>
      <c r="B53" t="inlineStr">
        <is>
          <t>Admin</t>
        </is>
      </c>
      <c r="C53" t="inlineStr">
        <is>
          <t>Pop-up.aspx</t>
        </is>
      </c>
      <c r="D53" t="inlineStr">
        <is>
          <t>HO/Admin/Pop-up.aspx</t>
        </is>
      </c>
      <c r="E53" t="inlineStr">
        <is>
          <t>Medium</t>
        </is>
      </c>
      <c r="F53" s="25">
        <f>VLOOKUP(E53,Assumptions!$A$5:$B$8,2,0)</f>
        <v/>
      </c>
    </row>
    <row r="54">
      <c r="A54" t="inlineStr">
        <is>
          <t>HO</t>
        </is>
      </c>
      <c r="B54" t="inlineStr">
        <is>
          <t>Admin</t>
        </is>
      </c>
      <c r="C54" t="inlineStr">
        <is>
          <t>a_AutoGenerateUser.aspx</t>
        </is>
      </c>
      <c r="D54" t="inlineStr">
        <is>
          <t>HO/Admin/a_AutoGenerateUser.aspx</t>
        </is>
      </c>
      <c r="E54" t="inlineStr">
        <is>
          <t>Medium</t>
        </is>
      </c>
      <c r="F54" s="25">
        <f>VLOOKUP(E54,Assumptions!$A$5:$B$8,2,0)</f>
        <v/>
      </c>
    </row>
    <row r="55">
      <c r="A55" t="inlineStr">
        <is>
          <t>HO</t>
        </is>
      </c>
      <c r="B55" t="inlineStr">
        <is>
          <t>Admin</t>
        </is>
      </c>
      <c r="C55" t="inlineStr">
        <is>
          <t>a_BrLoginAccessTime.aspx</t>
        </is>
      </c>
      <c r="D55" t="inlineStr">
        <is>
          <t>HO/Admin/a_BrLoginAccessTime.aspx</t>
        </is>
      </c>
      <c r="E55" t="inlineStr">
        <is>
          <t>Medium</t>
        </is>
      </c>
      <c r="F55" s="25">
        <f>VLOOKUP(E55,Assumptions!$A$5:$B$8,2,0)</f>
        <v/>
      </c>
    </row>
    <row r="56">
      <c r="A56" t="inlineStr">
        <is>
          <t>HO</t>
        </is>
      </c>
      <c r="B56" t="inlineStr">
        <is>
          <t>Admin</t>
        </is>
      </c>
      <c r="C56" t="inlineStr">
        <is>
          <t>a_CashierLimit.aspx</t>
        </is>
      </c>
      <c r="D56" t="inlineStr">
        <is>
          <t>HO/Admin/a_CashierLimit.aspx</t>
        </is>
      </c>
      <c r="E56" t="inlineStr">
        <is>
          <t>Medium</t>
        </is>
      </c>
      <c r="F56" s="25">
        <f>VLOOKUP(E56,Assumptions!$A$5:$B$8,2,0)</f>
        <v/>
      </c>
    </row>
    <row r="57">
      <c r="A57" t="inlineStr">
        <is>
          <t>HO</t>
        </is>
      </c>
      <c r="B57" t="inlineStr">
        <is>
          <t>Admin</t>
        </is>
      </c>
      <c r="C57" t="inlineStr">
        <is>
          <t>a_ChangePassword.aspx</t>
        </is>
      </c>
      <c r="D57" t="inlineStr">
        <is>
          <t>HO/Admin/a_ChangePassword.aspx</t>
        </is>
      </c>
      <c r="E57" t="inlineStr">
        <is>
          <t>Medium</t>
        </is>
      </c>
      <c r="F57" s="25">
        <f>VLOOKUP(E57,Assumptions!$A$5:$B$8,2,0)</f>
        <v/>
      </c>
    </row>
    <row r="58">
      <c r="A58" t="inlineStr">
        <is>
          <t>HO</t>
        </is>
      </c>
      <c r="B58" t="inlineStr">
        <is>
          <t>Admin</t>
        </is>
      </c>
      <c r="C58" t="inlineStr">
        <is>
          <t>a_Menus.aspx</t>
        </is>
      </c>
      <c r="D58" t="inlineStr">
        <is>
          <t>HO/Admin/a_Menus.aspx</t>
        </is>
      </c>
      <c r="E58" t="inlineStr">
        <is>
          <t>Medium</t>
        </is>
      </c>
      <c r="F58" s="25">
        <f>VLOOKUP(E58,Assumptions!$A$5:$B$8,2,0)</f>
        <v/>
      </c>
    </row>
    <row r="59">
      <c r="A59" t="inlineStr">
        <is>
          <t>HO</t>
        </is>
      </c>
      <c r="B59" t="inlineStr">
        <is>
          <t>Admin</t>
        </is>
      </c>
      <c r="C59" t="inlineStr">
        <is>
          <t>a_Module.aspx</t>
        </is>
      </c>
      <c r="D59" t="inlineStr">
        <is>
          <t>HO/Admin/a_Module.aspx</t>
        </is>
      </c>
      <c r="E59" t="inlineStr">
        <is>
          <t>Medium</t>
        </is>
      </c>
      <c r="F59" s="25">
        <f>VLOOKUP(E59,Assumptions!$A$5:$B$8,2,0)</f>
        <v/>
      </c>
    </row>
    <row r="60">
      <c r="A60" t="inlineStr">
        <is>
          <t>HO</t>
        </is>
      </c>
      <c r="B60" t="inlineStr">
        <is>
          <t>Admin</t>
        </is>
      </c>
      <c r="C60" t="inlineStr">
        <is>
          <t>a_RemoteHostAttempt.aspx</t>
        </is>
      </c>
      <c r="D60" t="inlineStr">
        <is>
          <t>HO/Admin/a_RemoteHostAttempt.aspx</t>
        </is>
      </c>
      <c r="E60" t="inlineStr">
        <is>
          <t>Medium</t>
        </is>
      </c>
      <c r="F60" s="25">
        <f>VLOOKUP(E60,Assumptions!$A$5:$B$8,2,0)</f>
        <v/>
      </c>
    </row>
    <row r="61">
      <c r="A61" t="inlineStr">
        <is>
          <t>HO</t>
        </is>
      </c>
      <c r="B61" t="inlineStr">
        <is>
          <t>Admin</t>
        </is>
      </c>
      <c r="C61" t="inlineStr">
        <is>
          <t>a_ResponsibilityRights.aspx</t>
        </is>
      </c>
      <c r="D61" t="inlineStr">
        <is>
          <t>HO/Admin/a_ResponsibilityRights.aspx</t>
        </is>
      </c>
      <c r="E61" t="inlineStr">
        <is>
          <t>Medium</t>
        </is>
      </c>
      <c r="F61" s="25">
        <f>VLOOKUP(E61,Assumptions!$A$5:$B$8,2,0)</f>
        <v/>
      </c>
    </row>
    <row r="62">
      <c r="A62" t="inlineStr">
        <is>
          <t>HO</t>
        </is>
      </c>
      <c r="B62" t="inlineStr">
        <is>
          <t>Admin</t>
        </is>
      </c>
      <c r="C62" t="inlineStr">
        <is>
          <t>a_ResponsibilityUser.aspx</t>
        </is>
      </c>
      <c r="D62" t="inlineStr">
        <is>
          <t>HO/Admin/a_ResponsibilityUser.aspx</t>
        </is>
      </c>
      <c r="E62" t="inlineStr">
        <is>
          <t>Medium</t>
        </is>
      </c>
      <c r="F62" s="25">
        <f>VLOOKUP(E62,Assumptions!$A$5:$B$8,2,0)</f>
        <v/>
      </c>
    </row>
    <row r="63">
      <c r="A63" t="inlineStr">
        <is>
          <t>HO</t>
        </is>
      </c>
      <c r="B63" t="inlineStr">
        <is>
          <t>Admin</t>
        </is>
      </c>
      <c r="C63" t="inlineStr">
        <is>
          <t>a_RoleMaster.aspx</t>
        </is>
      </c>
      <c r="D63" t="inlineStr">
        <is>
          <t>HO/Admin/a_RoleMaster.aspx</t>
        </is>
      </c>
      <c r="E63" t="inlineStr">
        <is>
          <t>Medium</t>
        </is>
      </c>
      <c r="F63" s="25">
        <f>VLOOKUP(E63,Assumptions!$A$5:$B$8,2,0)</f>
        <v/>
      </c>
    </row>
    <row r="64">
      <c r="A64" t="inlineStr">
        <is>
          <t>HO</t>
        </is>
      </c>
      <c r="B64" t="inlineStr">
        <is>
          <t>Admin</t>
        </is>
      </c>
      <c r="C64" t="inlineStr">
        <is>
          <t>a_RoleOnMenu.aspx</t>
        </is>
      </c>
      <c r="D64" t="inlineStr">
        <is>
          <t>HO/Admin/a_RoleOnMenu.aspx</t>
        </is>
      </c>
      <c r="E64" t="inlineStr">
        <is>
          <t>Medium</t>
        </is>
      </c>
      <c r="F64" s="25">
        <f>VLOOKUP(E64,Assumptions!$A$5:$B$8,2,0)</f>
        <v/>
      </c>
    </row>
    <row r="65">
      <c r="A65" t="inlineStr">
        <is>
          <t>HO</t>
        </is>
      </c>
      <c r="B65" t="inlineStr">
        <is>
          <t>Admin</t>
        </is>
      </c>
      <c r="C65" t="inlineStr">
        <is>
          <t>a_UserCashierRights.aspx</t>
        </is>
      </c>
      <c r="D65" t="inlineStr">
        <is>
          <t>HO/Admin/a_UserCashierRights.aspx</t>
        </is>
      </c>
      <c r="E65" t="inlineStr">
        <is>
          <t>Medium</t>
        </is>
      </c>
      <c r="F65" s="25">
        <f>VLOOKUP(E65,Assumptions!$A$5:$B$8,2,0)</f>
        <v/>
      </c>
    </row>
    <row r="66">
      <c r="A66" t="inlineStr">
        <is>
          <t>HO</t>
        </is>
      </c>
      <c r="B66" t="inlineStr">
        <is>
          <t>Admin</t>
        </is>
      </c>
      <c r="C66" t="inlineStr">
        <is>
          <t>a_UserInModule.aspx</t>
        </is>
      </c>
      <c r="D66" t="inlineStr">
        <is>
          <t>HO/Admin/a_UserInModule.aspx</t>
        </is>
      </c>
      <c r="E66" t="inlineStr">
        <is>
          <t>Medium</t>
        </is>
      </c>
      <c r="F66" s="25">
        <f>VLOOKUP(E66,Assumptions!$A$5:$B$8,2,0)</f>
        <v/>
      </c>
    </row>
    <row r="67">
      <c r="A67" t="inlineStr">
        <is>
          <t>HO</t>
        </is>
      </c>
      <c r="B67" t="inlineStr">
        <is>
          <t>Admin</t>
        </is>
      </c>
      <c r="C67" t="inlineStr">
        <is>
          <t>a_UserLedgerRights.aspx</t>
        </is>
      </c>
      <c r="D67" t="inlineStr">
        <is>
          <t>HO/Admin/a_UserLedgerRights.aspx</t>
        </is>
      </c>
      <c r="E67" t="inlineStr">
        <is>
          <t>Medium</t>
        </is>
      </c>
      <c r="F67" s="25">
        <f>VLOOKUP(E67,Assumptions!$A$5:$B$8,2,0)</f>
        <v/>
      </c>
    </row>
    <row r="68">
      <c r="A68" t="inlineStr">
        <is>
          <t>HO</t>
        </is>
      </c>
      <c r="B68" t="inlineStr">
        <is>
          <t>Admin</t>
        </is>
      </c>
      <c r="C68" t="inlineStr">
        <is>
          <t>a_UserOprRights.aspx</t>
        </is>
      </c>
      <c r="D68" t="inlineStr">
        <is>
          <t>HO/Admin/a_UserOprRights.aspx</t>
        </is>
      </c>
      <c r="E68" t="inlineStr">
        <is>
          <t>Medium</t>
        </is>
      </c>
      <c r="F68" s="25">
        <f>VLOOKUP(E68,Assumptions!$A$5:$B$8,2,0)</f>
        <v/>
      </c>
    </row>
    <row r="69">
      <c r="A69" t="inlineStr">
        <is>
          <t>HO</t>
        </is>
      </c>
      <c r="B69" t="inlineStr">
        <is>
          <t>Admin</t>
        </is>
      </c>
      <c r="C69" t="inlineStr">
        <is>
          <t>a_UserRights.aspx</t>
        </is>
      </c>
      <c r="D69" t="inlineStr">
        <is>
          <t>HO/Admin/a_UserRights.aspx</t>
        </is>
      </c>
      <c r="E69" t="inlineStr">
        <is>
          <t>Medium</t>
        </is>
      </c>
      <c r="F69" s="25">
        <f>VLOOKUP(E69,Assumptions!$A$5:$B$8,2,0)</f>
        <v/>
      </c>
    </row>
    <row r="70">
      <c r="A70" t="inlineStr">
        <is>
          <t>HO</t>
        </is>
      </c>
      <c r="B70" t="inlineStr">
        <is>
          <t>Alerts</t>
        </is>
      </c>
      <c r="C70" t="inlineStr">
        <is>
          <t>al_AlertConfig.aspx</t>
        </is>
      </c>
      <c r="D70" t="inlineStr">
        <is>
          <t>HO/Alerts/al_AlertConfig.aspx</t>
        </is>
      </c>
      <c r="E70" t="inlineStr">
        <is>
          <t>Medium</t>
        </is>
      </c>
      <c r="F70" s="25">
        <f>VLOOKUP(E70,Assumptions!$A$5:$B$8,2,0)</f>
        <v/>
      </c>
    </row>
    <row r="71">
      <c r="A71" t="inlineStr">
        <is>
          <t>HO</t>
        </is>
      </c>
      <c r="B71" t="inlineStr">
        <is>
          <t>Alerts</t>
        </is>
      </c>
      <c r="C71" t="inlineStr">
        <is>
          <t>al_AlertsRights.aspx</t>
        </is>
      </c>
      <c r="D71" t="inlineStr">
        <is>
          <t>HO/Alerts/al_AlertsRights.aspx</t>
        </is>
      </c>
      <c r="E71" t="inlineStr">
        <is>
          <t>Medium</t>
        </is>
      </c>
      <c r="F71" s="25">
        <f>VLOOKUP(E71,Assumptions!$A$5:$B$8,2,0)</f>
        <v/>
      </c>
    </row>
    <row r="72">
      <c r="A72" t="inlineStr">
        <is>
          <t>HO</t>
        </is>
      </c>
      <c r="B72" t="inlineStr">
        <is>
          <t>Bank</t>
        </is>
      </c>
      <c r="C72" t="inlineStr">
        <is>
          <t>Form121.aspx</t>
        </is>
      </c>
      <c r="D72" t="inlineStr">
        <is>
          <t>HO/Bank/Form121.aspx</t>
        </is>
      </c>
      <c r="E72" t="inlineStr">
        <is>
          <t>Medium</t>
        </is>
      </c>
      <c r="F72" s="25">
        <f>VLOOKUP(E72,Assumptions!$A$5:$B$8,2,0)</f>
        <v/>
      </c>
    </row>
    <row r="73">
      <c r="A73" t="inlineStr">
        <is>
          <t>HO</t>
        </is>
      </c>
      <c r="B73" t="inlineStr">
        <is>
          <t>Bank</t>
        </is>
      </c>
      <c r="C73" t="inlineStr">
        <is>
          <t>MemberLoanSchemeMap.aspx</t>
        </is>
      </c>
      <c r="D73" t="inlineStr">
        <is>
          <t>HO/Bank/MemberLoanSchemeMap.aspx</t>
        </is>
      </c>
      <c r="E73" t="inlineStr">
        <is>
          <t>Medium</t>
        </is>
      </c>
      <c r="F73" s="25">
        <f>VLOOKUP(E73,Assumptions!$A$5:$B$8,2,0)</f>
        <v/>
      </c>
    </row>
    <row r="74">
      <c r="A74" t="inlineStr">
        <is>
          <t>HO</t>
        </is>
      </c>
      <c r="B74" t="inlineStr">
        <is>
          <t>Bank</t>
        </is>
      </c>
      <c r="C74" t="inlineStr">
        <is>
          <t>b_ATMRequest.aspx</t>
        </is>
      </c>
      <c r="D74" t="inlineStr">
        <is>
          <t>HO/Bank/b_ATMRequest.aspx</t>
        </is>
      </c>
      <c r="E74" t="inlineStr">
        <is>
          <t>Simple</t>
        </is>
      </c>
      <c r="F74" s="25">
        <f>VLOOKUP(E74,Assumptions!$A$5:$B$8,2,0)</f>
        <v/>
      </c>
    </row>
    <row r="75">
      <c r="A75" t="inlineStr">
        <is>
          <t>HO</t>
        </is>
      </c>
      <c r="B75" t="inlineStr">
        <is>
          <t>Bank</t>
        </is>
      </c>
      <c r="C75" t="inlineStr">
        <is>
          <t>b_BankList.aspx</t>
        </is>
      </c>
      <c r="D75" t="inlineStr">
        <is>
          <t>HO/Bank/b_BankList.aspx</t>
        </is>
      </c>
      <c r="E75" t="inlineStr">
        <is>
          <t>Simple</t>
        </is>
      </c>
      <c r="F75" s="25">
        <f>VLOOKUP(E75,Assumptions!$A$5:$B$8,2,0)</f>
        <v/>
      </c>
    </row>
    <row r="76">
      <c r="A76" t="inlineStr">
        <is>
          <t>HO</t>
        </is>
      </c>
      <c r="B76" t="inlineStr">
        <is>
          <t>Bank</t>
        </is>
      </c>
      <c r="C76" t="inlineStr">
        <is>
          <t>b_BranchList.aspx</t>
        </is>
      </c>
      <c r="D76" t="inlineStr">
        <is>
          <t>HO/Bank/b_BranchList.aspx</t>
        </is>
      </c>
      <c r="E76" t="inlineStr">
        <is>
          <t>Simple</t>
        </is>
      </c>
      <c r="F76" s="25">
        <f>VLOOKUP(E76,Assumptions!$A$5:$B$8,2,0)</f>
        <v/>
      </c>
    </row>
    <row r="77">
      <c r="A77" t="inlineStr">
        <is>
          <t>HO</t>
        </is>
      </c>
      <c r="B77" t="inlineStr">
        <is>
          <t>Bank</t>
        </is>
      </c>
      <c r="C77" t="inlineStr">
        <is>
          <t>b_MergeClient.aspx</t>
        </is>
      </c>
      <c r="D77" t="inlineStr">
        <is>
          <t>HO/Bank/b_MergeClient.aspx</t>
        </is>
      </c>
      <c r="E77" t="inlineStr">
        <is>
          <t>Simple</t>
        </is>
      </c>
      <c r="F77" s="25">
        <f>VLOOKUP(E77,Assumptions!$A$5:$B$8,2,0)</f>
        <v/>
      </c>
    </row>
    <row r="78">
      <c r="A78" t="inlineStr">
        <is>
          <t>HO</t>
        </is>
      </c>
      <c r="B78" t="inlineStr">
        <is>
          <t>Bank</t>
        </is>
      </c>
      <c r="C78" t="inlineStr">
        <is>
          <t>b_NoteItemSeq.aspx</t>
        </is>
      </c>
      <c r="D78" t="inlineStr">
        <is>
          <t>HO/Bank/b_NoteItemSeq.aspx</t>
        </is>
      </c>
      <c r="E78" t="inlineStr">
        <is>
          <t>Simple</t>
        </is>
      </c>
      <c r="F78" s="25">
        <f>VLOOKUP(E78,Assumptions!$A$5:$B$8,2,0)</f>
        <v/>
      </c>
    </row>
    <row r="79">
      <c r="A79" t="inlineStr">
        <is>
          <t>HO</t>
        </is>
      </c>
      <c r="B79" t="inlineStr">
        <is>
          <t>Bank</t>
        </is>
      </c>
      <c r="C79" t="inlineStr">
        <is>
          <t>b_TdsSavingSchemeMapping.aspx</t>
        </is>
      </c>
      <c r="D79" t="inlineStr">
        <is>
          <t>HO/Bank/b_TdsSavingSchemeMapping.aspx</t>
        </is>
      </c>
      <c r="E79" t="inlineStr">
        <is>
          <t>Simple</t>
        </is>
      </c>
      <c r="F79" s="25">
        <f>VLOOKUP(E79,Assumptions!$A$5:$B$8,2,0)</f>
        <v/>
      </c>
    </row>
    <row r="80">
      <c r="A80" t="inlineStr">
        <is>
          <t>HO</t>
        </is>
      </c>
      <c r="B80" t="inlineStr">
        <is>
          <t>Bank</t>
        </is>
      </c>
      <c r="C80" t="inlineStr">
        <is>
          <t>clientTDSExcemtion.aspx</t>
        </is>
      </c>
      <c r="D80" t="inlineStr">
        <is>
          <t>HO/Bank/clientTDSExcemtion.aspx</t>
        </is>
      </c>
      <c r="E80" t="inlineStr">
        <is>
          <t>Medium</t>
        </is>
      </c>
      <c r="F80" s="25">
        <f>VLOOKUP(E80,Assumptions!$A$5:$B$8,2,0)</f>
        <v/>
      </c>
    </row>
    <row r="81">
      <c r="A81" t="inlineStr">
        <is>
          <t>HO</t>
        </is>
      </c>
      <c r="B81" t="inlineStr">
        <is>
          <t>Bank</t>
        </is>
      </c>
      <c r="C81" t="inlineStr">
        <is>
          <t>clientTDSExcemtionDetails.aspx</t>
        </is>
      </c>
      <c r="D81" t="inlineStr">
        <is>
          <t>HO/Bank/clientTDSExcemtionDetails.aspx</t>
        </is>
      </c>
      <c r="E81" t="inlineStr">
        <is>
          <t>Medium</t>
        </is>
      </c>
      <c r="F81" s="25">
        <f>VLOOKUP(E81,Assumptions!$A$5:$B$8,2,0)</f>
        <v/>
      </c>
    </row>
    <row r="82">
      <c r="A82" t="inlineStr">
        <is>
          <t>HO</t>
        </is>
      </c>
      <c r="B82" t="inlineStr">
        <is>
          <t>Bank</t>
        </is>
      </c>
      <c r="C82" t="inlineStr">
        <is>
          <t>g_AccountHead.aspx</t>
        </is>
      </c>
      <c r="D82" t="inlineStr">
        <is>
          <t>HO/Bank/g_AccountHead.aspx</t>
        </is>
      </c>
      <c r="E82" t="inlineStr">
        <is>
          <t>Simple</t>
        </is>
      </c>
      <c r="F82" s="25">
        <f>VLOOKUP(E82,Assumptions!$A$5:$B$8,2,0)</f>
        <v/>
      </c>
    </row>
    <row r="83">
      <c r="A83" t="inlineStr">
        <is>
          <t>HO</t>
        </is>
      </c>
      <c r="B83" t="inlineStr">
        <is>
          <t>Bank</t>
        </is>
      </c>
      <c r="C83" t="inlineStr">
        <is>
          <t>g_BranchCategory.aspx</t>
        </is>
      </c>
      <c r="D83" t="inlineStr">
        <is>
          <t>HO/Bank/g_BranchCategory.aspx</t>
        </is>
      </c>
      <c r="E83" t="inlineStr">
        <is>
          <t>Simple</t>
        </is>
      </c>
      <c r="F83" s="25">
        <f>VLOOKUP(E83,Assumptions!$A$5:$B$8,2,0)</f>
        <v/>
      </c>
    </row>
    <row r="84">
      <c r="A84" t="inlineStr">
        <is>
          <t>HO</t>
        </is>
      </c>
      <c r="B84" t="inlineStr">
        <is>
          <t>Bank</t>
        </is>
      </c>
      <c r="C84" t="inlineStr">
        <is>
          <t>g_BranchVariablesList.aspx</t>
        </is>
      </c>
      <c r="D84" t="inlineStr">
        <is>
          <t>HO/Bank/g_BranchVariablesList.aspx</t>
        </is>
      </c>
      <c r="E84" t="inlineStr">
        <is>
          <t>Simple</t>
        </is>
      </c>
      <c r="F84" s="25">
        <f>VLOOKUP(E84,Assumptions!$A$5:$B$8,2,0)</f>
        <v/>
      </c>
    </row>
    <row r="85">
      <c r="A85" t="inlineStr">
        <is>
          <t>HO</t>
        </is>
      </c>
      <c r="B85" t="inlineStr">
        <is>
          <t>Bank</t>
        </is>
      </c>
      <c r="C85" t="inlineStr">
        <is>
          <t>g_City.aspx</t>
        </is>
      </c>
      <c r="D85" t="inlineStr">
        <is>
          <t>HO/Bank/g_City.aspx</t>
        </is>
      </c>
      <c r="E85" t="inlineStr">
        <is>
          <t>Simple</t>
        </is>
      </c>
      <c r="F85" s="25">
        <f>VLOOKUP(E85,Assumptions!$A$5:$B$8,2,0)</f>
        <v/>
      </c>
    </row>
    <row r="86">
      <c r="A86" t="inlineStr">
        <is>
          <t>HO</t>
        </is>
      </c>
      <c r="B86" t="inlineStr">
        <is>
          <t>Bank</t>
        </is>
      </c>
      <c r="C86" t="inlineStr">
        <is>
          <t>g_Designation.aspx</t>
        </is>
      </c>
      <c r="D86" t="inlineStr">
        <is>
          <t>HO/Bank/g_Designation.aspx</t>
        </is>
      </c>
      <c r="E86" t="inlineStr">
        <is>
          <t>Simple</t>
        </is>
      </c>
      <c r="F86" s="25">
        <f>VLOOKUP(E86,Assumptions!$A$5:$B$8,2,0)</f>
        <v/>
      </c>
    </row>
    <row r="87">
      <c r="A87" t="inlineStr">
        <is>
          <t>HO</t>
        </is>
      </c>
      <c r="B87" t="inlineStr">
        <is>
          <t>Bank</t>
        </is>
      </c>
      <c r="C87" t="inlineStr">
        <is>
          <t>g_District.aspx</t>
        </is>
      </c>
      <c r="D87" t="inlineStr">
        <is>
          <t>HO/Bank/g_District.aspx</t>
        </is>
      </c>
      <c r="E87" t="inlineStr">
        <is>
          <t>Simple</t>
        </is>
      </c>
      <c r="F87" s="25">
        <f>VLOOKUP(E87,Assumptions!$A$5:$B$8,2,0)</f>
        <v/>
      </c>
    </row>
    <row r="88">
      <c r="A88" t="inlineStr">
        <is>
          <t>HO</t>
        </is>
      </c>
      <c r="B88" t="inlineStr">
        <is>
          <t>Bank</t>
        </is>
      </c>
      <c r="C88" t="inlineStr">
        <is>
          <t>g_FormAccountHeadMapping.aspx</t>
        </is>
      </c>
      <c r="D88" t="inlineStr">
        <is>
          <t>HO/Bank/g_FormAccountHeadMapping.aspx</t>
        </is>
      </c>
      <c r="E88" t="inlineStr">
        <is>
          <t>Simple</t>
        </is>
      </c>
      <c r="F88" s="25">
        <f>VLOOKUP(E88,Assumptions!$A$5:$B$8,2,0)</f>
        <v/>
      </c>
    </row>
    <row r="89">
      <c r="A89" t="inlineStr">
        <is>
          <t>HO</t>
        </is>
      </c>
      <c r="B89" t="inlineStr">
        <is>
          <t>Bank</t>
        </is>
      </c>
      <c r="C89" t="inlineStr">
        <is>
          <t>g_IFSCCode.aspx</t>
        </is>
      </c>
      <c r="D89" t="inlineStr">
        <is>
          <t>HO/Bank/g_IFSCCode.aspx</t>
        </is>
      </c>
      <c r="E89" t="inlineStr">
        <is>
          <t>Simple</t>
        </is>
      </c>
      <c r="F89" s="25">
        <f>VLOOKUP(E89,Assumptions!$A$5:$B$8,2,0)</f>
        <v/>
      </c>
    </row>
    <row r="90">
      <c r="A90" t="inlineStr">
        <is>
          <t>HO</t>
        </is>
      </c>
      <c r="B90" t="inlineStr">
        <is>
          <t>Bank</t>
        </is>
      </c>
      <c r="C90" t="inlineStr">
        <is>
          <t>g_InventoryCategory.aspx</t>
        </is>
      </c>
      <c r="D90" t="inlineStr">
        <is>
          <t>HO/Bank/g_InventoryCategory.aspx</t>
        </is>
      </c>
      <c r="E90" t="inlineStr">
        <is>
          <t>Simple</t>
        </is>
      </c>
      <c r="F90" s="25">
        <f>VLOOKUP(E90,Assumptions!$A$5:$B$8,2,0)</f>
        <v/>
      </c>
    </row>
    <row r="91">
      <c r="A91" t="inlineStr">
        <is>
          <t>HO</t>
        </is>
      </c>
      <c r="B91" t="inlineStr">
        <is>
          <t>Bank</t>
        </is>
      </c>
      <c r="C91" t="inlineStr">
        <is>
          <t>g_LGA.aspx</t>
        </is>
      </c>
      <c r="D91" t="inlineStr">
        <is>
          <t>HO/Bank/g_LGA.aspx</t>
        </is>
      </c>
      <c r="E91" t="inlineStr">
        <is>
          <t>Simple</t>
        </is>
      </c>
      <c r="F91" s="25">
        <f>VLOOKUP(E91,Assumptions!$A$5:$B$8,2,0)</f>
        <v/>
      </c>
    </row>
    <row r="92">
      <c r="A92" t="inlineStr">
        <is>
          <t>HO</t>
        </is>
      </c>
      <c r="B92" t="inlineStr">
        <is>
          <t>Bank</t>
        </is>
      </c>
      <c r="C92" t="inlineStr">
        <is>
          <t>g_MICRCity.aspx</t>
        </is>
      </c>
      <c r="D92" t="inlineStr">
        <is>
          <t>HO/Bank/g_MICRCity.aspx</t>
        </is>
      </c>
      <c r="E92" t="inlineStr">
        <is>
          <t>Simple</t>
        </is>
      </c>
      <c r="F92" s="25">
        <f>VLOOKUP(E92,Assumptions!$A$5:$B$8,2,0)</f>
        <v/>
      </c>
    </row>
    <row r="93">
      <c r="A93" t="inlineStr">
        <is>
          <t>HO</t>
        </is>
      </c>
      <c r="B93" t="inlineStr">
        <is>
          <t>Bank</t>
        </is>
      </c>
      <c r="C93" t="inlineStr">
        <is>
          <t>g_MICRRegion.aspx</t>
        </is>
      </c>
      <c r="D93" t="inlineStr">
        <is>
          <t>HO/Bank/g_MICRRegion.aspx</t>
        </is>
      </c>
      <c r="E93" t="inlineStr">
        <is>
          <t>Simple</t>
        </is>
      </c>
      <c r="F93" s="25">
        <f>VLOOKUP(E93,Assumptions!$A$5:$B$8,2,0)</f>
        <v/>
      </c>
    </row>
    <row r="94">
      <c r="A94" t="inlineStr">
        <is>
          <t>HO</t>
        </is>
      </c>
      <c r="B94" t="inlineStr">
        <is>
          <t>Bank</t>
        </is>
      </c>
      <c r="C94" t="inlineStr">
        <is>
          <t>g_Notes.aspx</t>
        </is>
      </c>
      <c r="D94" t="inlineStr">
        <is>
          <t>HO/Bank/g_Notes.aspx</t>
        </is>
      </c>
      <c r="E94" t="inlineStr">
        <is>
          <t>Simple</t>
        </is>
      </c>
      <c r="F94" s="25">
        <f>VLOOKUP(E94,Assumptions!$A$5:$B$8,2,0)</f>
        <v/>
      </c>
    </row>
    <row r="95">
      <c r="A95" t="inlineStr">
        <is>
          <t>HO</t>
        </is>
      </c>
      <c r="B95" t="inlineStr">
        <is>
          <t>Bank</t>
        </is>
      </c>
      <c r="C95" t="inlineStr">
        <is>
          <t>g_OrgElement.aspx</t>
        </is>
      </c>
      <c r="D95" t="inlineStr">
        <is>
          <t>HO/Bank/g_OrgElement.aspx</t>
        </is>
      </c>
      <c r="E95" t="inlineStr">
        <is>
          <t>Simple</t>
        </is>
      </c>
      <c r="F95" s="25">
        <f>VLOOKUP(E95,Assumptions!$A$5:$B$8,2,0)</f>
        <v/>
      </c>
    </row>
    <row r="96">
      <c r="A96" t="inlineStr">
        <is>
          <t>HO</t>
        </is>
      </c>
      <c r="B96" t="inlineStr">
        <is>
          <t>Bank</t>
        </is>
      </c>
      <c r="C96" t="inlineStr">
        <is>
          <t>g_OrgElementDepartment.aspx</t>
        </is>
      </c>
      <c r="D96" t="inlineStr">
        <is>
          <t>HO/Bank/g_OrgElementDepartment.aspx</t>
        </is>
      </c>
      <c r="E96" t="inlineStr">
        <is>
          <t>Simple</t>
        </is>
      </c>
      <c r="F96" s="25">
        <f>VLOOKUP(E96,Assumptions!$A$5:$B$8,2,0)</f>
        <v/>
      </c>
    </row>
    <row r="97">
      <c r="A97" t="inlineStr">
        <is>
          <t>HO</t>
        </is>
      </c>
      <c r="B97" t="inlineStr">
        <is>
          <t>Bank</t>
        </is>
      </c>
      <c r="C97" t="inlineStr">
        <is>
          <t>g_PostOfficeCodes.aspx</t>
        </is>
      </c>
      <c r="D97" t="inlineStr">
        <is>
          <t>HO/Bank/g_PostOfficeCodes.aspx</t>
        </is>
      </c>
      <c r="E97" t="inlineStr">
        <is>
          <t>Simple</t>
        </is>
      </c>
      <c r="F97" s="25">
        <f>VLOOKUP(E97,Assumptions!$A$5:$B$8,2,0)</f>
        <v/>
      </c>
    </row>
    <row r="98">
      <c r="A98" t="inlineStr">
        <is>
          <t>HO</t>
        </is>
      </c>
      <c r="B98" t="inlineStr">
        <is>
          <t>Bank</t>
        </is>
      </c>
      <c r="C98" t="inlineStr">
        <is>
          <t>g_Relation.aspx</t>
        </is>
      </c>
      <c r="D98" t="inlineStr">
        <is>
          <t>HO/Bank/g_Relation.aspx</t>
        </is>
      </c>
      <c r="E98" t="inlineStr">
        <is>
          <t>Simple</t>
        </is>
      </c>
      <c r="F98" s="25">
        <f>VLOOKUP(E98,Assumptions!$A$5:$B$8,2,0)</f>
        <v/>
      </c>
    </row>
    <row r="99">
      <c r="A99" t="inlineStr">
        <is>
          <t>HO</t>
        </is>
      </c>
      <c r="B99" t="inlineStr">
        <is>
          <t>Bank</t>
        </is>
      </c>
      <c r="C99" t="inlineStr">
        <is>
          <t>g_ReportSettings.aspx</t>
        </is>
      </c>
      <c r="D99" t="inlineStr">
        <is>
          <t>HO/Bank/g_ReportSettings.aspx</t>
        </is>
      </c>
      <c r="E99" t="inlineStr">
        <is>
          <t>Report</t>
        </is>
      </c>
      <c r="F99" s="25">
        <f>VLOOKUP(E99,Assumptions!$A$5:$B$8,2,0)</f>
        <v/>
      </c>
    </row>
    <row r="100">
      <c r="A100" t="inlineStr">
        <is>
          <t>HO</t>
        </is>
      </c>
      <c r="B100" t="inlineStr">
        <is>
          <t>Bank</t>
        </is>
      </c>
      <c r="C100" t="inlineStr">
        <is>
          <t>g_ServiceStatus.aspx</t>
        </is>
      </c>
      <c r="D100" t="inlineStr">
        <is>
          <t>HO/Bank/g_ServiceStatus.aspx</t>
        </is>
      </c>
      <c r="E100" t="inlineStr">
        <is>
          <t>Simple</t>
        </is>
      </c>
      <c r="F100" s="25">
        <f>VLOOKUP(E100,Assumptions!$A$5:$B$8,2,0)</f>
        <v/>
      </c>
    </row>
    <row r="101">
      <c r="A101" t="inlineStr">
        <is>
          <t>HO</t>
        </is>
      </c>
      <c r="B101" t="inlineStr">
        <is>
          <t>Bank</t>
        </is>
      </c>
      <c r="C101" t="inlineStr">
        <is>
          <t>g_State.aspx</t>
        </is>
      </c>
      <c r="D101" t="inlineStr">
        <is>
          <t>HO/Bank/g_State.aspx</t>
        </is>
      </c>
      <c r="E101" t="inlineStr">
        <is>
          <t>Simple</t>
        </is>
      </c>
      <c r="F101" s="25">
        <f>VLOOKUP(E101,Assumptions!$A$5:$B$8,2,0)</f>
        <v/>
      </c>
    </row>
    <row r="102">
      <c r="A102" t="inlineStr">
        <is>
          <t>HO</t>
        </is>
      </c>
      <c r="B102" t="inlineStr">
        <is>
          <t>Bank</t>
        </is>
      </c>
      <c r="C102" t="inlineStr">
        <is>
          <t>g_Step.aspx</t>
        </is>
      </c>
      <c r="D102" t="inlineStr">
        <is>
          <t>HO/Bank/g_Step.aspx</t>
        </is>
      </c>
      <c r="E102" t="inlineStr">
        <is>
          <t>Simple</t>
        </is>
      </c>
      <c r="F102" s="25">
        <f>VLOOKUP(E102,Assumptions!$A$5:$B$8,2,0)</f>
        <v/>
      </c>
    </row>
    <row r="103">
      <c r="A103" t="inlineStr">
        <is>
          <t>HO</t>
        </is>
      </c>
      <c r="B103" t="inlineStr">
        <is>
          <t>Bank</t>
        </is>
      </c>
      <c r="C103" t="inlineStr">
        <is>
          <t>g_Taluka.aspx</t>
        </is>
      </c>
      <c r="D103" t="inlineStr">
        <is>
          <t>HO/Bank/g_Taluka.aspx</t>
        </is>
      </c>
      <c r="E103" t="inlineStr">
        <is>
          <t>Simple</t>
        </is>
      </c>
      <c r="F103" s="25">
        <f>VLOOKUP(E103,Assumptions!$A$5:$B$8,2,0)</f>
        <v/>
      </c>
    </row>
    <row r="104">
      <c r="A104" t="inlineStr">
        <is>
          <t>HO</t>
        </is>
      </c>
      <c r="B104" t="inlineStr">
        <is>
          <t>Bank</t>
        </is>
      </c>
      <c r="C104" t="inlineStr">
        <is>
          <t>g_Title.aspx</t>
        </is>
      </c>
      <c r="D104" t="inlineStr">
        <is>
          <t>HO/Bank/g_Title.aspx</t>
        </is>
      </c>
      <c r="E104" t="inlineStr">
        <is>
          <t>Simple</t>
        </is>
      </c>
      <c r="F104" s="25">
        <f>VLOOKUP(E104,Assumptions!$A$5:$B$8,2,0)</f>
        <v/>
      </c>
    </row>
    <row r="105">
      <c r="A105" t="inlineStr">
        <is>
          <t>HO</t>
        </is>
      </c>
      <c r="B105" t="inlineStr"/>
      <c r="C105" t="inlineStr">
        <is>
          <t>BankVariableConfig.aspx</t>
        </is>
      </c>
      <c r="D105" t="inlineStr">
        <is>
          <t>HO/BankVariableConfig.aspx</t>
        </is>
      </c>
      <c r="E105" t="inlineStr">
        <is>
          <t>Medium</t>
        </is>
      </c>
      <c r="F105" s="25">
        <f>VLOOKUP(E105,Assumptions!$A$5:$B$8,2,0)</f>
        <v/>
      </c>
    </row>
    <row r="106">
      <c r="A106" t="inlineStr">
        <is>
          <t>HO</t>
        </is>
      </c>
      <c r="B106" t="inlineStr"/>
      <c r="C106" t="inlineStr">
        <is>
          <t>BranchVariableConfig.aspx</t>
        </is>
      </c>
      <c r="D106" t="inlineStr">
        <is>
          <t>HO/BranchVariableConfig.aspx</t>
        </is>
      </c>
      <c r="E106" t="inlineStr">
        <is>
          <t>Medium</t>
        </is>
      </c>
      <c r="F106" s="25">
        <f>VLOOKUP(E106,Assumptions!$A$5:$B$8,2,0)</f>
        <v/>
      </c>
    </row>
    <row r="107">
      <c r="A107" t="inlineStr">
        <is>
          <t>HO</t>
        </is>
      </c>
      <c r="B107" t="inlineStr"/>
      <c r="C107" t="inlineStr">
        <is>
          <t>DeductMinBalHeadMap.aspx</t>
        </is>
      </c>
      <c r="D107" t="inlineStr">
        <is>
          <t>HO/DeductMinBalHeadMap.aspx</t>
        </is>
      </c>
      <c r="E107" t="inlineStr">
        <is>
          <t>Medium</t>
        </is>
      </c>
      <c r="F107" s="25">
        <f>VLOOKUP(E107,Assumptions!$A$5:$B$8,2,0)</f>
        <v/>
      </c>
    </row>
    <row r="108">
      <c r="A108" t="inlineStr">
        <is>
          <t>HO</t>
        </is>
      </c>
      <c r="B108" t="inlineStr">
        <is>
          <t>ECS</t>
        </is>
      </c>
      <c r="C108" t="inlineStr">
        <is>
          <t>EcsMandateCancelPopup.aspx</t>
        </is>
      </c>
      <c r="D108" t="inlineStr">
        <is>
          <t>HO/ECS/EcsMandateCancelPopup.aspx</t>
        </is>
      </c>
      <c r="E108" t="inlineStr">
        <is>
          <t>Medium</t>
        </is>
      </c>
      <c r="F108" s="25">
        <f>VLOOKUP(E108,Assumptions!$A$5:$B$8,2,0)</f>
        <v/>
      </c>
    </row>
    <row r="109">
      <c r="A109" t="inlineStr">
        <is>
          <t>HO</t>
        </is>
      </c>
      <c r="B109" t="inlineStr">
        <is>
          <t>ECS</t>
        </is>
      </c>
      <c r="C109" t="inlineStr">
        <is>
          <t>x_EcsMandateNew.aspx</t>
        </is>
      </c>
      <c r="D109" t="inlineStr">
        <is>
          <t>HO/ECS/x_EcsMandateNew.aspx</t>
        </is>
      </c>
      <c r="E109" t="inlineStr">
        <is>
          <t>Medium</t>
        </is>
      </c>
      <c r="F109" s="25">
        <f>VLOOKUP(E109,Assumptions!$A$5:$B$8,2,0)</f>
        <v/>
      </c>
    </row>
    <row r="110">
      <c r="A110" t="inlineStr">
        <is>
          <t>HO</t>
        </is>
      </c>
      <c r="B110" t="inlineStr"/>
      <c r="C110" t="inlineStr">
        <is>
          <t>GSTTransactionDetail.aspx</t>
        </is>
      </c>
      <c r="D110" t="inlineStr">
        <is>
          <t>HO/GSTTransactionDetail.aspx</t>
        </is>
      </c>
      <c r="E110" t="inlineStr">
        <is>
          <t>Medium</t>
        </is>
      </c>
      <c r="F110" s="25">
        <f>VLOOKUP(E110,Assumptions!$A$5:$B$8,2,0)</f>
        <v/>
      </c>
    </row>
    <row r="111">
      <c r="A111" t="inlineStr">
        <is>
          <t>HO</t>
        </is>
      </c>
      <c r="B111" t="inlineStr"/>
      <c r="C111" t="inlineStr">
        <is>
          <t>GlobalClientDocAttach.aspx</t>
        </is>
      </c>
      <c r="D111" t="inlineStr">
        <is>
          <t>HO/GlobalClientDocAttach.aspx</t>
        </is>
      </c>
      <c r="E111" t="inlineStr">
        <is>
          <t>Medium</t>
        </is>
      </c>
      <c r="F111" s="25">
        <f>VLOOKUP(E111,Assumptions!$A$5:$B$8,2,0)</f>
        <v/>
      </c>
    </row>
    <row r="112">
      <c r="A112" t="inlineStr">
        <is>
          <t>HO</t>
        </is>
      </c>
      <c r="B112" t="inlineStr"/>
      <c r="C112" t="inlineStr">
        <is>
          <t>GlobalClientDocAttachPopup.aspx</t>
        </is>
      </c>
      <c r="D112" t="inlineStr">
        <is>
          <t>HO/GlobalClientDocAttachPopup.aspx</t>
        </is>
      </c>
      <c r="E112" t="inlineStr">
        <is>
          <t>Medium</t>
        </is>
      </c>
      <c r="F112" s="25">
        <f>VLOOKUP(E112,Assumptions!$A$5:$B$8,2,0)</f>
        <v/>
      </c>
    </row>
    <row r="113">
      <c r="A113" t="inlineStr">
        <is>
          <t>HO</t>
        </is>
      </c>
      <c r="B113" t="inlineStr">
        <is>
          <t>Hr</t>
        </is>
      </c>
      <c r="C113" t="inlineStr">
        <is>
          <t>g_BankDirRelative.aspx</t>
        </is>
      </c>
      <c r="D113" t="inlineStr">
        <is>
          <t>HO/Hr/g_BankDirRelative.aspx</t>
        </is>
      </c>
      <c r="E113" t="inlineStr">
        <is>
          <t>Simple</t>
        </is>
      </c>
      <c r="F113" s="25">
        <f>VLOOKUP(E113,Assumptions!$A$5:$B$8,2,0)</f>
        <v/>
      </c>
    </row>
    <row r="114">
      <c r="A114" t="inlineStr">
        <is>
          <t>HO</t>
        </is>
      </c>
      <c r="B114" t="inlineStr">
        <is>
          <t>Hr</t>
        </is>
      </c>
      <c r="C114" t="inlineStr">
        <is>
          <t>g_BankDirectors.aspx</t>
        </is>
      </c>
      <c r="D114" t="inlineStr">
        <is>
          <t>HO/Hr/g_BankDirectors.aspx</t>
        </is>
      </c>
      <c r="E114" t="inlineStr">
        <is>
          <t>Simple</t>
        </is>
      </c>
      <c r="F114" s="25">
        <f>VLOOKUP(E114,Assumptions!$A$5:$B$8,2,0)</f>
        <v/>
      </c>
    </row>
    <row r="115">
      <c r="A115" t="inlineStr">
        <is>
          <t>HO</t>
        </is>
      </c>
      <c r="B115" t="inlineStr">
        <is>
          <t>Hr</t>
        </is>
      </c>
      <c r="C115" t="inlineStr">
        <is>
          <t>h_EmpDeputationExt.aspx</t>
        </is>
      </c>
      <c r="D115" t="inlineStr">
        <is>
          <t>HO/Hr/h_EmpDeputationExt.aspx</t>
        </is>
      </c>
      <c r="E115" t="inlineStr">
        <is>
          <t>Medium</t>
        </is>
      </c>
      <c r="F115" s="25">
        <f>VLOOKUP(E115,Assumptions!$A$5:$B$8,2,0)</f>
        <v/>
      </c>
    </row>
    <row r="116">
      <c r="A116" t="inlineStr">
        <is>
          <t>HO</t>
        </is>
      </c>
      <c r="B116" t="inlineStr">
        <is>
          <t>Hr</t>
        </is>
      </c>
      <c r="C116" t="inlineStr">
        <is>
          <t>h_Employee.aspx</t>
        </is>
      </c>
      <c r="D116" t="inlineStr">
        <is>
          <t>HO/Hr/h_Employee.aspx</t>
        </is>
      </c>
      <c r="E116" t="inlineStr">
        <is>
          <t>Medium</t>
        </is>
      </c>
      <c r="F116" s="25">
        <f>VLOOKUP(E116,Assumptions!$A$5:$B$8,2,0)</f>
        <v/>
      </c>
    </row>
    <row r="117">
      <c r="A117" t="inlineStr">
        <is>
          <t>HO</t>
        </is>
      </c>
      <c r="B117" t="inlineStr">
        <is>
          <t>Hr</t>
        </is>
      </c>
      <c r="C117" t="inlineStr">
        <is>
          <t>h_EmployeeDeputation.aspx</t>
        </is>
      </c>
      <c r="D117" t="inlineStr">
        <is>
          <t>HO/Hr/h_EmployeeDeputation.aspx</t>
        </is>
      </c>
      <c r="E117" t="inlineStr">
        <is>
          <t>Medium</t>
        </is>
      </c>
      <c r="F117" s="25">
        <f>VLOOKUP(E117,Assumptions!$A$5:$B$8,2,0)</f>
        <v/>
      </c>
    </row>
    <row r="118">
      <c r="A118" t="inlineStr">
        <is>
          <t>HO</t>
        </is>
      </c>
      <c r="B118" t="inlineStr">
        <is>
          <t>Hr</t>
        </is>
      </c>
      <c r="C118" t="inlineStr">
        <is>
          <t>h_EmployeeRelease.aspx</t>
        </is>
      </c>
      <c r="D118" t="inlineStr">
        <is>
          <t>HO/Hr/h_EmployeeRelease.aspx</t>
        </is>
      </c>
      <c r="E118" t="inlineStr">
        <is>
          <t>Medium</t>
        </is>
      </c>
      <c r="F118" s="25">
        <f>VLOOKUP(E118,Assumptions!$A$5:$B$8,2,0)</f>
        <v/>
      </c>
    </row>
    <row r="119">
      <c r="A119" t="inlineStr">
        <is>
          <t>HO</t>
        </is>
      </c>
      <c r="B119" t="inlineStr"/>
      <c r="C119" t="inlineStr">
        <is>
          <t>KYCClientPopup.aspx</t>
        </is>
      </c>
      <c r="D119" t="inlineStr">
        <is>
          <t>HO/KYCClientPopup.aspx</t>
        </is>
      </c>
      <c r="E119" t="inlineStr">
        <is>
          <t>Medium</t>
        </is>
      </c>
      <c r="F119" s="25">
        <f>VLOOKUP(E119,Assumptions!$A$5:$B$8,2,0)</f>
        <v/>
      </c>
    </row>
    <row r="120">
      <c r="A120" t="inlineStr">
        <is>
          <t>HO</t>
        </is>
      </c>
      <c r="B120" t="inlineStr"/>
      <c r="C120" t="inlineStr">
        <is>
          <t>KYCClientPopup_V1.aspx</t>
        </is>
      </c>
      <c r="D120" t="inlineStr">
        <is>
          <t>HO/KYCClientPopup_V1.aspx</t>
        </is>
      </c>
      <c r="E120" t="inlineStr">
        <is>
          <t>Medium</t>
        </is>
      </c>
      <c r="F120" s="25">
        <f>VLOOKUP(E120,Assumptions!$A$5:$B$8,2,0)</f>
        <v/>
      </c>
    </row>
    <row r="121">
      <c r="A121" t="inlineStr">
        <is>
          <t>HO</t>
        </is>
      </c>
      <c r="B121" t="inlineStr"/>
      <c r="C121" t="inlineStr">
        <is>
          <t>KYCUpdateInfo.aspx</t>
        </is>
      </c>
      <c r="D121" t="inlineStr">
        <is>
          <t>HO/KYCUpdateInfo.aspx</t>
        </is>
      </c>
      <c r="E121" t="inlineStr">
        <is>
          <t>Medium</t>
        </is>
      </c>
      <c r="F121" s="25">
        <f>VLOOKUP(E121,Assumptions!$A$5:$B$8,2,0)</f>
        <v/>
      </c>
    </row>
    <row r="122">
      <c r="A122" t="inlineStr">
        <is>
          <t>HO</t>
        </is>
      </c>
      <c r="B122" t="inlineStr"/>
      <c r="C122" t="inlineStr">
        <is>
          <t>MbankGlobalAccLimit.aspx</t>
        </is>
      </c>
      <c r="D122" t="inlineStr">
        <is>
          <t>HO/MbankGlobalAccLimit.aspx</t>
        </is>
      </c>
      <c r="E122" t="inlineStr">
        <is>
          <t>Medium</t>
        </is>
      </c>
      <c r="F122" s="25">
        <f>VLOOKUP(E122,Assumptions!$A$5:$B$8,2,0)</f>
        <v/>
      </c>
    </row>
    <row r="123">
      <c r="A123" t="inlineStr">
        <is>
          <t>HO</t>
        </is>
      </c>
      <c r="B123" t="inlineStr"/>
      <c r="C123" t="inlineStr">
        <is>
          <t>PigmyContraMaping.aspx</t>
        </is>
      </c>
      <c r="D123" t="inlineStr">
        <is>
          <t>HO/PigmyContraMaping.aspx</t>
        </is>
      </c>
      <c r="E123" t="inlineStr">
        <is>
          <t>Medium</t>
        </is>
      </c>
      <c r="F123" s="25">
        <f>VLOOKUP(E123,Assumptions!$A$5:$B$8,2,0)</f>
        <v/>
      </c>
    </row>
    <row r="124">
      <c r="A124" t="inlineStr">
        <is>
          <t>HO</t>
        </is>
      </c>
      <c r="B124" t="inlineStr">
        <is>
          <t>ProjectFormulation</t>
        </is>
      </c>
      <c r="C124" t="inlineStr">
        <is>
          <t>C_LoanDocCollection.aspx</t>
        </is>
      </c>
      <c r="D124" t="inlineStr">
        <is>
          <t>HO/ProjectFormulation/C_LoanDocCollection.aspx</t>
        </is>
      </c>
      <c r="E124" t="inlineStr">
        <is>
          <t>Medium</t>
        </is>
      </c>
      <c r="F124" s="25">
        <f>VLOOKUP(E124,Assumptions!$A$5:$B$8,2,0)</f>
        <v/>
      </c>
    </row>
    <row r="125">
      <c r="A125" t="inlineStr">
        <is>
          <t>HO</t>
        </is>
      </c>
      <c r="B125" t="inlineStr">
        <is>
          <t>ProjectFormulation</t>
        </is>
      </c>
      <c r="C125" t="inlineStr">
        <is>
          <t>P_CreditOfficer.aspx</t>
        </is>
      </c>
      <c r="D125" t="inlineStr">
        <is>
          <t>HO/ProjectFormulation/P_CreditOfficer.aspx</t>
        </is>
      </c>
      <c r="E125" t="inlineStr">
        <is>
          <t>Medium</t>
        </is>
      </c>
      <c r="F125" s="25">
        <f>VLOOKUP(E125,Assumptions!$A$5:$B$8,2,0)</f>
        <v/>
      </c>
    </row>
    <row r="126">
      <c r="A126" t="inlineStr">
        <is>
          <t>HO</t>
        </is>
      </c>
      <c r="B126" t="inlineStr">
        <is>
          <t>ProjectFormulation</t>
        </is>
      </c>
      <c r="C126" t="inlineStr">
        <is>
          <t>c_LoanDocRelease.aspx</t>
        </is>
      </c>
      <c r="D126" t="inlineStr">
        <is>
          <t>HO/ProjectFormulation/c_LoanDocRelease.aspx</t>
        </is>
      </c>
      <c r="E126" t="inlineStr">
        <is>
          <t>Medium</t>
        </is>
      </c>
      <c r="F126" s="25">
        <f>VLOOKUP(E126,Assumptions!$A$5:$B$8,2,0)</f>
        <v/>
      </c>
    </row>
    <row r="127">
      <c r="A127" t="inlineStr">
        <is>
          <t>HO</t>
        </is>
      </c>
      <c r="B127" t="inlineStr">
        <is>
          <t>ProjectFormulation</t>
        </is>
      </c>
      <c r="C127" t="inlineStr">
        <is>
          <t>p_AnnexPre.aspx</t>
        </is>
      </c>
      <c r="D127" t="inlineStr">
        <is>
          <t>HO/ProjectFormulation/p_AnnexPre.aspx</t>
        </is>
      </c>
      <c r="E127" t="inlineStr">
        <is>
          <t>Medium</t>
        </is>
      </c>
      <c r="F127" s="25">
        <f>VLOOKUP(E127,Assumptions!$A$5:$B$8,2,0)</f>
        <v/>
      </c>
    </row>
    <row r="128">
      <c r="A128" t="inlineStr">
        <is>
          <t>HO</t>
        </is>
      </c>
      <c r="B128" t="inlineStr">
        <is>
          <t>ProjectFormulation</t>
        </is>
      </c>
      <c r="C128" t="inlineStr">
        <is>
          <t>p_Applicant.aspx</t>
        </is>
      </c>
      <c r="D128" t="inlineStr">
        <is>
          <t>HO/ProjectFormulation/p_Applicant.aspx</t>
        </is>
      </c>
      <c r="E128" t="inlineStr">
        <is>
          <t>Medium</t>
        </is>
      </c>
      <c r="F128" s="25">
        <f>VLOOKUP(E128,Assumptions!$A$5:$B$8,2,0)</f>
        <v/>
      </c>
    </row>
    <row r="129">
      <c r="A129" t="inlineStr">
        <is>
          <t>HO</t>
        </is>
      </c>
      <c r="B129" t="inlineStr">
        <is>
          <t>ProjectFormulation</t>
        </is>
      </c>
      <c r="C129" t="inlineStr">
        <is>
          <t>p_CommitteeDirectors.aspx</t>
        </is>
      </c>
      <c r="D129" t="inlineStr">
        <is>
          <t>HO/ProjectFormulation/p_CommitteeDirectors.aspx</t>
        </is>
      </c>
      <c r="E129" t="inlineStr">
        <is>
          <t>Medium</t>
        </is>
      </c>
      <c r="F129" s="25">
        <f>VLOOKUP(E129,Assumptions!$A$5:$B$8,2,0)</f>
        <v/>
      </c>
    </row>
    <row r="130">
      <c r="A130" t="inlineStr">
        <is>
          <t>HO</t>
        </is>
      </c>
      <c r="B130" t="inlineStr">
        <is>
          <t>ProjectFormulation</t>
        </is>
      </c>
      <c r="C130" t="inlineStr">
        <is>
          <t>p_CommitteeMaster.aspx</t>
        </is>
      </c>
      <c r="D130" t="inlineStr">
        <is>
          <t>HO/ProjectFormulation/p_CommitteeMaster.aspx</t>
        </is>
      </c>
      <c r="E130" t="inlineStr">
        <is>
          <t>Medium</t>
        </is>
      </c>
      <c r="F130" s="25">
        <f>VLOOKUP(E130,Assumptions!$A$5:$B$8,2,0)</f>
        <v/>
      </c>
    </row>
    <row r="131">
      <c r="A131" t="inlineStr">
        <is>
          <t>HO</t>
        </is>
      </c>
      <c r="B131" t="inlineStr">
        <is>
          <t>ProjectFormulation</t>
        </is>
      </c>
      <c r="C131" t="inlineStr">
        <is>
          <t>p_CommitteeMasterMemberAP.aspx</t>
        </is>
      </c>
      <c r="D131" t="inlineStr">
        <is>
          <t>HO/ProjectFormulation/p_CommitteeMasterMemberAP.aspx</t>
        </is>
      </c>
      <c r="E131" t="inlineStr">
        <is>
          <t>Medium</t>
        </is>
      </c>
      <c r="F131" s="25">
        <f>VLOOKUP(E131,Assumptions!$A$5:$B$8,2,0)</f>
        <v/>
      </c>
    </row>
    <row r="132">
      <c r="A132" t="inlineStr">
        <is>
          <t>HO</t>
        </is>
      </c>
      <c r="B132" t="inlineStr">
        <is>
          <t>ProjectFormulation</t>
        </is>
      </c>
      <c r="C132" t="inlineStr">
        <is>
          <t>p_CommitteeMasterMemberAR.aspx</t>
        </is>
      </c>
      <c r="D132" t="inlineStr">
        <is>
          <t>HO/ProjectFormulation/p_CommitteeMasterMemberAR.aspx</t>
        </is>
      </c>
      <c r="E132" t="inlineStr">
        <is>
          <t>Medium</t>
        </is>
      </c>
      <c r="F132" s="25">
        <f>VLOOKUP(E132,Assumptions!$A$5:$B$8,2,0)</f>
        <v/>
      </c>
    </row>
    <row r="133">
      <c r="A133" t="inlineStr">
        <is>
          <t>HO</t>
        </is>
      </c>
      <c r="B133" t="inlineStr">
        <is>
          <t>ProjectFormulation</t>
        </is>
      </c>
      <c r="C133" t="inlineStr">
        <is>
          <t>p_Document.aspx</t>
        </is>
      </c>
      <c r="D133" t="inlineStr">
        <is>
          <t>HO/ProjectFormulation/p_Document.aspx</t>
        </is>
      </c>
      <c r="E133" t="inlineStr">
        <is>
          <t>Medium</t>
        </is>
      </c>
      <c r="F133" s="25">
        <f>VLOOKUP(E133,Assumptions!$A$5:$B$8,2,0)</f>
        <v/>
      </c>
    </row>
    <row r="134">
      <c r="A134" t="inlineStr">
        <is>
          <t>HO</t>
        </is>
      </c>
      <c r="B134" t="inlineStr">
        <is>
          <t>ProjectFormulation</t>
        </is>
      </c>
      <c r="C134" t="inlineStr">
        <is>
          <t>p_LoanCaseCommitteeRemarks.aspx</t>
        </is>
      </c>
      <c r="D134" t="inlineStr">
        <is>
          <t>HO/ProjectFormulation/p_LoanCaseCommitteeRemarks.aspx</t>
        </is>
      </c>
      <c r="E134" t="inlineStr">
        <is>
          <t>Medium</t>
        </is>
      </c>
      <c r="F134" s="25">
        <f>VLOOKUP(E134,Assumptions!$A$5:$B$8,2,0)</f>
        <v/>
      </c>
    </row>
    <row r="135">
      <c r="A135" t="inlineStr">
        <is>
          <t>HO</t>
        </is>
      </c>
      <c r="B135" t="inlineStr">
        <is>
          <t>ProjectFormulation</t>
        </is>
      </c>
      <c r="C135" t="inlineStr">
        <is>
          <t>p_LoanCase_v1.aspx</t>
        </is>
      </c>
      <c r="D135" t="inlineStr">
        <is>
          <t>HO/ProjectFormulation/p_LoanCase_v1.aspx</t>
        </is>
      </c>
      <c r="E135" t="inlineStr">
        <is>
          <t>Medium</t>
        </is>
      </c>
      <c r="F135" s="25">
        <f>VLOOKUP(E135,Assumptions!$A$5:$B$8,2,0)</f>
        <v/>
      </c>
    </row>
    <row r="136">
      <c r="A136" t="inlineStr">
        <is>
          <t>HO</t>
        </is>
      </c>
      <c r="B136" t="inlineStr">
        <is>
          <t>ProjectFormulation</t>
        </is>
      </c>
      <c r="C136" t="inlineStr">
        <is>
          <t>p_SchemeDetails.aspx</t>
        </is>
      </c>
      <c r="D136" t="inlineStr">
        <is>
          <t>HO/ProjectFormulation/p_SchemeDetails.aspx</t>
        </is>
      </c>
      <c r="E136" t="inlineStr">
        <is>
          <t>Medium</t>
        </is>
      </c>
      <c r="F136" s="25">
        <f>VLOOKUP(E136,Assumptions!$A$5:$B$8,2,0)</f>
        <v/>
      </c>
    </row>
    <row r="137">
      <c r="A137" t="inlineStr">
        <is>
          <t>HO</t>
        </is>
      </c>
      <c r="B137" t="inlineStr">
        <is>
          <t>ProjectFormulation</t>
        </is>
      </c>
      <c r="C137" t="inlineStr">
        <is>
          <t>p_SchemeDetailsV1.aspx</t>
        </is>
      </c>
      <c r="D137" t="inlineStr">
        <is>
          <t>HO/ProjectFormulation/p_SchemeDetailsV1.aspx</t>
        </is>
      </c>
      <c r="E137" t="inlineStr">
        <is>
          <t>Medium</t>
        </is>
      </c>
      <c r="F137" s="25">
        <f>VLOOKUP(E137,Assumptions!$A$5:$B$8,2,0)</f>
        <v/>
      </c>
    </row>
    <row r="138">
      <c r="A138" t="inlineStr">
        <is>
          <t>HO</t>
        </is>
      </c>
      <c r="B138" t="inlineStr">
        <is>
          <t>ProjectFormulation</t>
        </is>
      </c>
      <c r="C138" t="inlineStr">
        <is>
          <t>p_SetCommitteeApprovalLimit.aspx</t>
        </is>
      </c>
      <c r="D138" t="inlineStr">
        <is>
          <t>HO/ProjectFormulation/p_SetCommitteeApprovalLimit.aspx</t>
        </is>
      </c>
      <c r="E138" t="inlineStr">
        <is>
          <t>Medium</t>
        </is>
      </c>
      <c r="F138" s="25">
        <f>VLOOKUP(E138,Assumptions!$A$5:$B$8,2,0)</f>
        <v/>
      </c>
    </row>
    <row r="139">
      <c r="A139" t="inlineStr">
        <is>
          <t>HO</t>
        </is>
      </c>
      <c r="B139" t="inlineStr">
        <is>
          <t>Retailbanking</t>
        </is>
      </c>
      <c r="C139" t="inlineStr">
        <is>
          <t>Aadhaar_Vault.aspx</t>
        </is>
      </c>
      <c r="D139" t="inlineStr">
        <is>
          <t>HO/Retailbanking/Aadhaar_Vault.aspx</t>
        </is>
      </c>
      <c r="E139" t="inlineStr">
        <is>
          <t>Medium</t>
        </is>
      </c>
      <c r="F139" s="25">
        <f>VLOOKUP(E139,Assumptions!$A$5:$B$8,2,0)</f>
        <v/>
      </c>
    </row>
    <row r="140">
      <c r="A140" t="inlineStr">
        <is>
          <t>HO</t>
        </is>
      </c>
      <c r="B140" t="inlineStr">
        <is>
          <t>Retailbanking</t>
        </is>
      </c>
      <c r="C140" t="inlineStr">
        <is>
          <t>b_CashRemitLimit.aspx</t>
        </is>
      </c>
      <c r="D140" t="inlineStr">
        <is>
          <t>HO/Retailbanking/Cash/b_CashRemitLimit.aspx</t>
        </is>
      </c>
      <c r="E140" t="inlineStr">
        <is>
          <t>Simple</t>
        </is>
      </c>
      <c r="F140" s="25">
        <f>VLOOKUP(E140,Assumptions!$A$5:$B$8,2,0)</f>
        <v/>
      </c>
    </row>
    <row r="141">
      <c r="A141" t="inlineStr">
        <is>
          <t>HO</t>
        </is>
      </c>
      <c r="B141" t="inlineStr">
        <is>
          <t>Retailbanking</t>
        </is>
      </c>
      <c r="C141" t="inlineStr">
        <is>
          <t>x_CashRemittanceOrder.aspx</t>
        </is>
      </c>
      <c r="D141" t="inlineStr">
        <is>
          <t>HO/Retailbanking/Cash/x_CashRemittanceOrder.aspx</t>
        </is>
      </c>
      <c r="E141" t="inlineStr">
        <is>
          <t>Medium</t>
        </is>
      </c>
      <c r="F141" s="25">
        <f>VLOOKUP(E141,Assumptions!$A$5:$B$8,2,0)</f>
        <v/>
      </c>
    </row>
    <row r="142">
      <c r="A142" t="inlineStr">
        <is>
          <t>HO</t>
        </is>
      </c>
      <c r="B142" t="inlineStr">
        <is>
          <t>Retailbanking</t>
        </is>
      </c>
      <c r="C142" t="inlineStr">
        <is>
          <t>DayendCOABalTrf.aspx</t>
        </is>
      </c>
      <c r="D142" t="inlineStr">
        <is>
          <t>HO/Retailbanking/DayendCOABalTrf.aspx</t>
        </is>
      </c>
      <c r="E142" t="inlineStr">
        <is>
          <t>Medium</t>
        </is>
      </c>
      <c r="F142" s="25">
        <f>VLOOKUP(E142,Assumptions!$A$5:$B$8,2,0)</f>
        <v/>
      </c>
    </row>
    <row r="143">
      <c r="A143" t="inlineStr">
        <is>
          <t>HO</t>
        </is>
      </c>
      <c r="B143" t="inlineStr">
        <is>
          <t>Retailbanking</t>
        </is>
      </c>
      <c r="C143" t="inlineStr">
        <is>
          <t>DepositHeadValidateMap.aspx</t>
        </is>
      </c>
      <c r="D143" t="inlineStr">
        <is>
          <t>HO/Retailbanking/DepositHeadValidateMap.aspx</t>
        </is>
      </c>
      <c r="E143" t="inlineStr">
        <is>
          <t>Medium</t>
        </is>
      </c>
      <c r="F143" s="25">
        <f>VLOOKUP(E143,Assumptions!$A$5:$B$8,2,0)</f>
        <v/>
      </c>
    </row>
    <row r="144">
      <c r="A144" t="inlineStr">
        <is>
          <t>HO</t>
        </is>
      </c>
      <c r="B144" t="inlineStr">
        <is>
          <t>Retailbanking</t>
        </is>
      </c>
      <c r="C144" t="inlineStr">
        <is>
          <t>FinancialRatioParamRang.aspx</t>
        </is>
      </c>
      <c r="D144" t="inlineStr">
        <is>
          <t>HO/Retailbanking/FinancialRatioParamRang.aspx</t>
        </is>
      </c>
      <c r="E144" t="inlineStr">
        <is>
          <t>Medium</t>
        </is>
      </c>
      <c r="F144" s="25">
        <f>VLOOKUP(E144,Assumptions!$A$5:$B$8,2,0)</f>
        <v/>
      </c>
    </row>
    <row r="145">
      <c r="A145" t="inlineStr">
        <is>
          <t>HO</t>
        </is>
      </c>
      <c r="B145" t="inlineStr">
        <is>
          <t>Retailbanking</t>
        </is>
      </c>
      <c r="C145" t="inlineStr">
        <is>
          <t>KYCConfig.aspx</t>
        </is>
      </c>
      <c r="D145" t="inlineStr">
        <is>
          <t>HO/Retailbanking/KYCConfig.aspx</t>
        </is>
      </c>
      <c r="E145" t="inlineStr">
        <is>
          <t>Medium</t>
        </is>
      </c>
      <c r="F145" s="25">
        <f>VLOOKUP(E145,Assumptions!$A$5:$B$8,2,0)</f>
        <v/>
      </c>
    </row>
    <row r="146">
      <c r="A146" t="inlineStr">
        <is>
          <t>HO</t>
        </is>
      </c>
      <c r="B146" t="inlineStr">
        <is>
          <t>Retailbanking</t>
        </is>
      </c>
      <c r="C146" t="inlineStr">
        <is>
          <t>LoanCCIntRule.aspx</t>
        </is>
      </c>
      <c r="D146" t="inlineStr">
        <is>
          <t>HO/Retailbanking/LoanCCIntRule.aspx</t>
        </is>
      </c>
      <c r="E146" t="inlineStr">
        <is>
          <t>Medium</t>
        </is>
      </c>
      <c r="F146" s="25">
        <f>VLOOKUP(E146,Assumptions!$A$5:$B$8,2,0)</f>
        <v/>
      </c>
    </row>
    <row r="147">
      <c r="A147" t="inlineStr">
        <is>
          <t>HO</t>
        </is>
      </c>
      <c r="B147" t="inlineStr">
        <is>
          <t>Retailbanking</t>
        </is>
      </c>
      <c r="C147" t="inlineStr">
        <is>
          <t>b_SatutaryReportSubmission.aspx</t>
        </is>
      </c>
      <c r="D147" t="inlineStr">
        <is>
          <t>HO/Retailbanking/RBIAdditionalStatements/b_SatutaryReportSubmission.aspx</t>
        </is>
      </c>
      <c r="E147" t="inlineStr">
        <is>
          <t>Report</t>
        </is>
      </c>
      <c r="F147" s="25">
        <f>VLOOKUP(E147,Assumptions!$A$5:$B$8,2,0)</f>
        <v/>
      </c>
    </row>
    <row r="148">
      <c r="A148" t="inlineStr">
        <is>
          <t>HO</t>
        </is>
      </c>
      <c r="B148" t="inlineStr">
        <is>
          <t>Retailbanking</t>
        </is>
      </c>
      <c r="C148" t="inlineStr">
        <is>
          <t>rp_BankSavingPercentage.aspx</t>
        </is>
      </c>
      <c r="D148" t="inlineStr">
        <is>
          <t>HO/Retailbanking/RBIGroup/rp_BankSavingPercentage.aspx</t>
        </is>
      </c>
      <c r="E148" t="inlineStr">
        <is>
          <t>Medium</t>
        </is>
      </c>
      <c r="F148" s="25">
        <f>VLOOKUP(E148,Assumptions!$A$5:$B$8,2,0)</f>
        <v/>
      </c>
    </row>
    <row r="149">
      <c r="A149" t="inlineStr">
        <is>
          <t>HO</t>
        </is>
      </c>
      <c r="B149" t="inlineStr">
        <is>
          <t>Retailbanking</t>
        </is>
      </c>
      <c r="C149" t="inlineStr">
        <is>
          <t>rp_GroupBorrower.aspx</t>
        </is>
      </c>
      <c r="D149" t="inlineStr">
        <is>
          <t>HO/Retailbanking/RBIGroup/rp_GroupBorrower.aspx</t>
        </is>
      </c>
      <c r="E149" t="inlineStr">
        <is>
          <t>Medium</t>
        </is>
      </c>
      <c r="F149" s="25">
        <f>VLOOKUP(E149,Assumptions!$A$5:$B$8,2,0)</f>
        <v/>
      </c>
    </row>
    <row r="150">
      <c r="A150" t="inlineStr">
        <is>
          <t>HO</t>
        </is>
      </c>
      <c r="B150" t="inlineStr">
        <is>
          <t>Retailbanking</t>
        </is>
      </c>
      <c r="C150" t="inlineStr">
        <is>
          <t>rp_MiscValues.aspx</t>
        </is>
      </c>
      <c r="D150" t="inlineStr">
        <is>
          <t>HO/Retailbanking/RBIGroup/rp_MiscValues.aspx</t>
        </is>
      </c>
      <c r="E150" t="inlineStr">
        <is>
          <t>Medium</t>
        </is>
      </c>
      <c r="F150" s="25">
        <f>VLOOKUP(E150,Assumptions!$A$5:$B$8,2,0)</f>
        <v/>
      </c>
    </row>
    <row r="151">
      <c r="A151" t="inlineStr">
        <is>
          <t>HO</t>
        </is>
      </c>
      <c r="B151" t="inlineStr">
        <is>
          <t>Retailbanking</t>
        </is>
      </c>
      <c r="C151" t="inlineStr">
        <is>
          <t>RiskCatCalcDetailsV2.aspx</t>
        </is>
      </c>
      <c r="D151" t="inlineStr">
        <is>
          <t>HO/Retailbanking/RiskCat/RiskCatCalcDetailsV2.aspx</t>
        </is>
      </c>
      <c r="E151" t="inlineStr">
        <is>
          <t>Medium</t>
        </is>
      </c>
      <c r="F151" s="25">
        <f>VLOOKUP(E151,Assumptions!$A$5:$B$8,2,0)</f>
        <v/>
      </c>
    </row>
    <row r="152">
      <c r="A152" t="inlineStr">
        <is>
          <t>HO</t>
        </is>
      </c>
      <c r="B152" t="inlineStr">
        <is>
          <t>Retailbanking</t>
        </is>
      </c>
      <c r="C152" t="inlineStr">
        <is>
          <t>RiskCatCalcV2.aspx</t>
        </is>
      </c>
      <c r="D152" t="inlineStr">
        <is>
          <t>HO/Retailbanking/RiskCat/RiskCatCalcV2.aspx</t>
        </is>
      </c>
      <c r="E152" t="inlineStr">
        <is>
          <t>Medium</t>
        </is>
      </c>
      <c r="F152" s="25">
        <f>VLOOKUP(E152,Assumptions!$A$5:$B$8,2,0)</f>
        <v/>
      </c>
    </row>
    <row r="153">
      <c r="A153" t="inlineStr">
        <is>
          <t>HO</t>
        </is>
      </c>
      <c r="B153" t="inlineStr">
        <is>
          <t>Retailbanking</t>
        </is>
      </c>
      <c r="C153" t="inlineStr">
        <is>
          <t>RiskCatConfigPopUpV2.aspx</t>
        </is>
      </c>
      <c r="D153" t="inlineStr">
        <is>
          <t>HO/Retailbanking/RiskCat/RiskCatConfigPopUpV2.aspx</t>
        </is>
      </c>
      <c r="E153" t="inlineStr">
        <is>
          <t>Medium</t>
        </is>
      </c>
      <c r="F153" s="25">
        <f>VLOOKUP(E153,Assumptions!$A$5:$B$8,2,0)</f>
        <v/>
      </c>
    </row>
    <row r="154">
      <c r="A154" t="inlineStr">
        <is>
          <t>HO</t>
        </is>
      </c>
      <c r="B154" t="inlineStr">
        <is>
          <t>Retailbanking</t>
        </is>
      </c>
      <c r="C154" t="inlineStr">
        <is>
          <t>RiskCatConfigV2.aspx</t>
        </is>
      </c>
      <c r="D154" t="inlineStr">
        <is>
          <t>HO/Retailbanking/RiskCat/RiskCatConfigV2.aspx</t>
        </is>
      </c>
      <c r="E154" t="inlineStr">
        <is>
          <t>Medium</t>
        </is>
      </c>
      <c r="F154" s="25">
        <f>VLOOKUP(E154,Assumptions!$A$5:$B$8,2,0)</f>
        <v/>
      </c>
    </row>
    <row r="155">
      <c r="A155" t="inlineStr">
        <is>
          <t>HO</t>
        </is>
      </c>
      <c r="B155" t="inlineStr">
        <is>
          <t>Retailbanking</t>
        </is>
      </c>
      <c r="C155" t="inlineStr">
        <is>
          <t>x_ServiceTaxCharge.aspx</t>
        </is>
      </c>
      <c r="D155" t="inlineStr">
        <is>
          <t>HO/Retailbanking/ServiceTaxCalculation/x_ServiceTaxCharge.aspx</t>
        </is>
      </c>
      <c r="E155" t="inlineStr">
        <is>
          <t>Medium</t>
        </is>
      </c>
      <c r="F155" s="25">
        <f>VLOOKUP(E155,Assumptions!$A$5:$B$8,2,0)</f>
        <v/>
      </c>
    </row>
    <row r="156">
      <c r="A156" t="inlineStr">
        <is>
          <t>HO</t>
        </is>
      </c>
      <c r="B156" t="inlineStr">
        <is>
          <t>Retailbanking</t>
        </is>
      </c>
      <c r="C156" t="inlineStr">
        <is>
          <t>Sms_AutoDayendMob.aspx</t>
        </is>
      </c>
      <c r="D156" t="inlineStr">
        <is>
          <t>HO/Retailbanking/Sms_AutoDayendMob.aspx</t>
        </is>
      </c>
      <c r="E156" t="inlineStr">
        <is>
          <t>Medium</t>
        </is>
      </c>
      <c r="F156" s="25">
        <f>VLOOKUP(E156,Assumptions!$A$5:$B$8,2,0)</f>
        <v/>
      </c>
    </row>
    <row r="157">
      <c r="A157" t="inlineStr">
        <is>
          <t>HO</t>
        </is>
      </c>
      <c r="B157" t="inlineStr">
        <is>
          <t>Retailbanking</t>
        </is>
      </c>
      <c r="C157" t="inlineStr">
        <is>
          <t>a_SubMemberBankUser.aspx</t>
        </is>
      </c>
      <c r="D157" t="inlineStr">
        <is>
          <t>HO/Retailbanking/a_SubMemberBankUser.aspx</t>
        </is>
      </c>
      <c r="E157" t="inlineStr">
        <is>
          <t>Medium</t>
        </is>
      </c>
      <c r="F157" s="25">
        <f>VLOOKUP(E157,Assumptions!$A$5:$B$8,2,0)</f>
        <v/>
      </c>
    </row>
    <row r="158">
      <c r="A158" t="inlineStr">
        <is>
          <t>HO</t>
        </is>
      </c>
      <c r="B158" t="inlineStr">
        <is>
          <t>Retailbanking</t>
        </is>
      </c>
      <c r="C158" t="inlineStr">
        <is>
          <t>a_UserTranLimit.aspx</t>
        </is>
      </c>
      <c r="D158" t="inlineStr">
        <is>
          <t>HO/Retailbanking/a_UserTranLimit.aspx</t>
        </is>
      </c>
      <c r="E158" t="inlineStr">
        <is>
          <t>Medium</t>
        </is>
      </c>
      <c r="F158" s="25">
        <f>VLOOKUP(E158,Assumptions!$A$5:$B$8,2,0)</f>
        <v/>
      </c>
    </row>
    <row r="159">
      <c r="A159" t="inlineStr">
        <is>
          <t>HO</t>
        </is>
      </c>
      <c r="B159" t="inlineStr">
        <is>
          <t>Retailbanking</t>
        </is>
      </c>
      <c r="C159" t="inlineStr">
        <is>
          <t>a_UserTranLimitSource.aspx</t>
        </is>
      </c>
      <c r="D159" t="inlineStr">
        <is>
          <t>HO/Retailbanking/a_UserTranLimitSource.aspx</t>
        </is>
      </c>
      <c r="E159" t="inlineStr">
        <is>
          <t>Medium</t>
        </is>
      </c>
      <c r="F159" s="25">
        <f>VLOOKUP(E159,Assumptions!$A$5:$B$8,2,0)</f>
        <v/>
      </c>
    </row>
    <row r="160">
      <c r="A160" t="inlineStr">
        <is>
          <t>HO</t>
        </is>
      </c>
      <c r="B160" t="inlineStr">
        <is>
          <t>Retailbanking</t>
        </is>
      </c>
      <c r="C160" t="inlineStr">
        <is>
          <t>b_CardTypeConfig.aspx</t>
        </is>
      </c>
      <c r="D160" t="inlineStr">
        <is>
          <t>HO/Retailbanking/b_CardTypeConfig.aspx</t>
        </is>
      </c>
      <c r="E160" t="inlineStr">
        <is>
          <t>Simple</t>
        </is>
      </c>
      <c r="F160" s="25">
        <f>VLOOKUP(E160,Assumptions!$A$5:$B$8,2,0)</f>
        <v/>
      </c>
    </row>
    <row r="161">
      <c r="A161" t="inlineStr">
        <is>
          <t>HO</t>
        </is>
      </c>
      <c r="B161" t="inlineStr">
        <is>
          <t>Retailbanking</t>
        </is>
      </c>
      <c r="C161" t="inlineStr">
        <is>
          <t>b_ChargesConfig.aspx</t>
        </is>
      </c>
      <c r="D161" t="inlineStr">
        <is>
          <t>HO/Retailbanking/b_ChargesConfig.aspx</t>
        </is>
      </c>
      <c r="E161" t="inlineStr">
        <is>
          <t>Simple</t>
        </is>
      </c>
      <c r="F161" s="25">
        <f>VLOOKUP(E161,Assumptions!$A$5:$B$8,2,0)</f>
        <v/>
      </c>
    </row>
    <row r="162">
      <c r="A162" t="inlineStr">
        <is>
          <t>HO</t>
        </is>
      </c>
      <c r="B162" t="inlineStr">
        <is>
          <t>Retailbanking</t>
        </is>
      </c>
      <c r="C162" t="inlineStr">
        <is>
          <t>b_ChargesConfigslab.aspx</t>
        </is>
      </c>
      <c r="D162" t="inlineStr">
        <is>
          <t>HO/Retailbanking/b_ChargesConfigslab.aspx</t>
        </is>
      </c>
      <c r="E162" t="inlineStr">
        <is>
          <t>Simple</t>
        </is>
      </c>
      <c r="F162" s="25">
        <f>VLOOKUP(E162,Assumptions!$A$5:$B$8,2,0)</f>
        <v/>
      </c>
    </row>
    <row r="163">
      <c r="A163" t="inlineStr">
        <is>
          <t>HO</t>
        </is>
      </c>
      <c r="B163" t="inlineStr">
        <is>
          <t>Retailbanking</t>
        </is>
      </c>
      <c r="C163" t="inlineStr">
        <is>
          <t>b_ChargesMaster.aspx</t>
        </is>
      </c>
      <c r="D163" t="inlineStr">
        <is>
          <t>HO/Retailbanking/b_ChargesMaster.aspx</t>
        </is>
      </c>
      <c r="E163" t="inlineStr">
        <is>
          <t>Simple</t>
        </is>
      </c>
      <c r="F163" s="25">
        <f>VLOOKUP(E163,Assumptions!$A$5:$B$8,2,0)</f>
        <v/>
      </c>
    </row>
    <row r="164">
      <c r="A164" t="inlineStr">
        <is>
          <t>HO</t>
        </is>
      </c>
      <c r="B164" t="inlineStr">
        <is>
          <t>Retailbanking</t>
        </is>
      </c>
      <c r="C164" t="inlineStr">
        <is>
          <t>b_DailyDepositInterestChart.aspx</t>
        </is>
      </c>
      <c r="D164" t="inlineStr">
        <is>
          <t>HO/Retailbanking/b_DailyDepositInterestChart.aspx</t>
        </is>
      </c>
      <c r="E164" t="inlineStr">
        <is>
          <t>Simple</t>
        </is>
      </c>
      <c r="F164" s="25">
        <f>VLOOKUP(E164,Assumptions!$A$5:$B$8,2,0)</f>
        <v/>
      </c>
    </row>
    <row r="165">
      <c r="A165" t="inlineStr">
        <is>
          <t>HO</t>
        </is>
      </c>
      <c r="B165" t="inlineStr">
        <is>
          <t>Retailbanking</t>
        </is>
      </c>
      <c r="C165" t="inlineStr">
        <is>
          <t>b_FinancialYear.aspx</t>
        </is>
      </c>
      <c r="D165" t="inlineStr">
        <is>
          <t>HO/Retailbanking/b_FinancialYear.aspx</t>
        </is>
      </c>
      <c r="E165" t="inlineStr">
        <is>
          <t>Simple</t>
        </is>
      </c>
      <c r="F165" s="25">
        <f>VLOOKUP(E165,Assumptions!$A$5:$B$8,2,0)</f>
        <v/>
      </c>
    </row>
    <row r="166">
      <c r="A166" t="inlineStr">
        <is>
          <t>HO</t>
        </is>
      </c>
      <c r="B166" t="inlineStr">
        <is>
          <t>Retailbanking</t>
        </is>
      </c>
      <c r="C166" t="inlineStr">
        <is>
          <t>b_GlInterestMapping.aspx</t>
        </is>
      </c>
      <c r="D166" t="inlineStr">
        <is>
          <t>HO/Retailbanking/b_GlInterestMapping.aspx</t>
        </is>
      </c>
      <c r="E166" t="inlineStr">
        <is>
          <t>Simple</t>
        </is>
      </c>
      <c r="F166" s="25">
        <f>VLOOKUP(E166,Assumptions!$A$5:$B$8,2,0)</f>
        <v/>
      </c>
    </row>
    <row r="167">
      <c r="A167" t="inlineStr">
        <is>
          <t>HO</t>
        </is>
      </c>
      <c r="B167" t="inlineStr">
        <is>
          <t>Retailbanking</t>
        </is>
      </c>
      <c r="C167" t="inlineStr">
        <is>
          <t>b_Holiday.aspx</t>
        </is>
      </c>
      <c r="D167" t="inlineStr">
        <is>
          <t>HO/Retailbanking/b_Holiday.aspx</t>
        </is>
      </c>
      <c r="E167" t="inlineStr">
        <is>
          <t>Simple</t>
        </is>
      </c>
      <c r="F167" s="25">
        <f>VLOOKUP(E167,Assumptions!$A$5:$B$8,2,0)</f>
        <v/>
      </c>
    </row>
    <row r="168">
      <c r="A168" t="inlineStr">
        <is>
          <t>HO</t>
        </is>
      </c>
      <c r="B168" t="inlineStr">
        <is>
          <t>Retailbanking</t>
        </is>
      </c>
      <c r="C168" t="inlineStr">
        <is>
          <t>b_HolidayChannel.aspx</t>
        </is>
      </c>
      <c r="D168" t="inlineStr">
        <is>
          <t>HO/Retailbanking/b_HolidayChannel.aspx</t>
        </is>
      </c>
      <c r="E168" t="inlineStr">
        <is>
          <t>Simple</t>
        </is>
      </c>
      <c r="F168" s="25">
        <f>VLOOKUP(E168,Assumptions!$A$5:$B$8,2,0)</f>
        <v/>
      </c>
    </row>
    <row r="169">
      <c r="A169" t="inlineStr">
        <is>
          <t>HO</t>
        </is>
      </c>
      <c r="B169" t="inlineStr">
        <is>
          <t>Retailbanking</t>
        </is>
      </c>
      <c r="C169" t="inlineStr">
        <is>
          <t>b_PreDisbInfoItem.aspx</t>
        </is>
      </c>
      <c r="D169" t="inlineStr">
        <is>
          <t>HO/Retailbanking/b_PreDisbInfoItem.aspx</t>
        </is>
      </c>
      <c r="E169" t="inlineStr">
        <is>
          <t>Simple</t>
        </is>
      </c>
      <c r="F169" s="25">
        <f>VLOOKUP(E169,Assumptions!$A$5:$B$8,2,0)</f>
        <v/>
      </c>
    </row>
    <row r="170">
      <c r="A170" t="inlineStr">
        <is>
          <t>HO</t>
        </is>
      </c>
      <c r="B170" t="inlineStr">
        <is>
          <t>Retailbanking</t>
        </is>
      </c>
      <c r="C170" t="inlineStr">
        <is>
          <t>b_PreDisbQstFormat.aspx</t>
        </is>
      </c>
      <c r="D170" t="inlineStr">
        <is>
          <t>HO/Retailbanking/b_PreDisbQstFormat.aspx</t>
        </is>
      </c>
      <c r="E170" t="inlineStr">
        <is>
          <t>Simple</t>
        </is>
      </c>
      <c r="F170" s="25">
        <f>VLOOKUP(E170,Assumptions!$A$5:$B$8,2,0)</f>
        <v/>
      </c>
    </row>
    <row r="171">
      <c r="A171" t="inlineStr">
        <is>
          <t>HO</t>
        </is>
      </c>
      <c r="B171" t="inlineStr">
        <is>
          <t>Retailbanking</t>
        </is>
      </c>
      <c r="C171" t="inlineStr">
        <is>
          <t>b_ReportGLMap.aspx</t>
        </is>
      </c>
      <c r="D171" t="inlineStr">
        <is>
          <t>HO/Retailbanking/b_ReportGLMap.aspx</t>
        </is>
      </c>
      <c r="E171" t="inlineStr">
        <is>
          <t>Report</t>
        </is>
      </c>
      <c r="F171" s="25">
        <f>VLOOKUP(E171,Assumptions!$A$5:$B$8,2,0)</f>
        <v/>
      </c>
    </row>
    <row r="172">
      <c r="A172" t="inlineStr">
        <is>
          <t>HO</t>
        </is>
      </c>
      <c r="B172" t="inlineStr">
        <is>
          <t>Retailbanking</t>
        </is>
      </c>
      <c r="C172" t="inlineStr">
        <is>
          <t>b_RiskCatAcTypeSlab.aspx</t>
        </is>
      </c>
      <c r="D172" t="inlineStr">
        <is>
          <t>HO/Retailbanking/b_RiskCatAcTypeSlab.aspx</t>
        </is>
      </c>
      <c r="E172" t="inlineStr">
        <is>
          <t>Simple</t>
        </is>
      </c>
      <c r="F172" s="25">
        <f>VLOOKUP(E172,Assumptions!$A$5:$B$8,2,0)</f>
        <v/>
      </c>
    </row>
    <row r="173">
      <c r="A173" t="inlineStr">
        <is>
          <t>HO</t>
        </is>
      </c>
      <c r="B173" t="inlineStr">
        <is>
          <t>Retailbanking</t>
        </is>
      </c>
      <c r="C173" t="inlineStr">
        <is>
          <t>b_RiskCatByThresHold.aspx</t>
        </is>
      </c>
      <c r="D173" t="inlineStr">
        <is>
          <t>HO/Retailbanking/b_RiskCatByThresHold.aspx</t>
        </is>
      </c>
      <c r="E173" t="inlineStr">
        <is>
          <t>Simple</t>
        </is>
      </c>
      <c r="F173" s="25">
        <f>VLOOKUP(E173,Assumptions!$A$5:$B$8,2,0)</f>
        <v/>
      </c>
    </row>
    <row r="174">
      <c r="A174" t="inlineStr">
        <is>
          <t>HO</t>
        </is>
      </c>
      <c r="B174" t="inlineStr">
        <is>
          <t>Retailbanking</t>
        </is>
      </c>
      <c r="C174" t="inlineStr">
        <is>
          <t>b_SavingInterestChart.aspx</t>
        </is>
      </c>
      <c r="D174" t="inlineStr">
        <is>
          <t>HO/Retailbanking/b_SavingInterestChart.aspx</t>
        </is>
      </c>
      <c r="E174" t="inlineStr">
        <is>
          <t>Simple</t>
        </is>
      </c>
      <c r="F174" s="25">
        <f>VLOOKUP(E174,Assumptions!$A$5:$B$8,2,0)</f>
        <v/>
      </c>
    </row>
    <row r="175">
      <c r="A175" t="inlineStr">
        <is>
          <t>HO</t>
        </is>
      </c>
      <c r="B175" t="inlineStr">
        <is>
          <t>Retailbanking</t>
        </is>
      </c>
      <c r="C175" t="inlineStr">
        <is>
          <t>b_SkipAutoRecHead.aspx</t>
        </is>
      </c>
      <c r="D175" t="inlineStr">
        <is>
          <t>HO/Retailbanking/b_SkipAutoRecHead.aspx</t>
        </is>
      </c>
      <c r="E175" t="inlineStr">
        <is>
          <t>Simple</t>
        </is>
      </c>
      <c r="F175" s="25">
        <f>VLOOKUP(E175,Assumptions!$A$5:$B$8,2,0)</f>
        <v/>
      </c>
    </row>
    <row r="176">
      <c r="A176" t="inlineStr">
        <is>
          <t>HO</t>
        </is>
      </c>
      <c r="B176" t="inlineStr">
        <is>
          <t>Retailbanking</t>
        </is>
      </c>
      <c r="C176" t="inlineStr">
        <is>
          <t>c_InsCompMaster.aspx</t>
        </is>
      </c>
      <c r="D176" t="inlineStr">
        <is>
          <t>HO/Retailbanking/c_InsCompMaster.aspx</t>
        </is>
      </c>
      <c r="E176" t="inlineStr">
        <is>
          <t>Medium</t>
        </is>
      </c>
      <c r="F176" s="25">
        <f>VLOOKUP(E176,Assumptions!$A$5:$B$8,2,0)</f>
        <v/>
      </c>
    </row>
    <row r="177">
      <c r="A177" t="inlineStr">
        <is>
          <t>HO</t>
        </is>
      </c>
      <c r="B177" t="inlineStr">
        <is>
          <t>Retailbanking</t>
        </is>
      </c>
      <c r="C177" t="inlineStr">
        <is>
          <t>c_LNCCAgstDepAddlIRSlab.aspx</t>
        </is>
      </c>
      <c r="D177" t="inlineStr">
        <is>
          <t>HO/Retailbanking/c_LNCCAgstDepAddlIRSlab.aspx</t>
        </is>
      </c>
      <c r="E177" t="inlineStr">
        <is>
          <t>Medium</t>
        </is>
      </c>
      <c r="F177" s="25">
        <f>VLOOKUP(E177,Assumptions!$A$5:$B$8,2,0)</f>
        <v/>
      </c>
    </row>
    <row r="178">
      <c r="A178" t="inlineStr">
        <is>
          <t>HO</t>
        </is>
      </c>
      <c r="B178" t="inlineStr">
        <is>
          <t>Retailbanking</t>
        </is>
      </c>
      <c r="C178" t="inlineStr">
        <is>
          <t>c_LNCCGroupExpLimit.aspx</t>
        </is>
      </c>
      <c r="D178" t="inlineStr">
        <is>
          <t>HO/Retailbanking/c_LNCCGroupExpLimit.aspx</t>
        </is>
      </c>
      <c r="E178" t="inlineStr">
        <is>
          <t>Medium</t>
        </is>
      </c>
      <c r="F178" s="25">
        <f>VLOOKUP(E178,Assumptions!$A$5:$B$8,2,0)</f>
        <v/>
      </c>
    </row>
    <row r="179">
      <c r="A179" t="inlineStr">
        <is>
          <t>HO</t>
        </is>
      </c>
      <c r="B179" t="inlineStr">
        <is>
          <t>Retailbanking</t>
        </is>
      </c>
      <c r="C179" t="inlineStr">
        <is>
          <t>c_LNCCRebateSlab.aspx</t>
        </is>
      </c>
      <c r="D179" t="inlineStr">
        <is>
          <t>HO/Retailbanking/c_LNCCRebateSlab.aspx</t>
        </is>
      </c>
      <c r="E179" t="inlineStr">
        <is>
          <t>Medium</t>
        </is>
      </c>
      <c r="F179" s="25">
        <f>VLOOKUP(E179,Assumptions!$A$5:$B$8,2,0)</f>
        <v/>
      </c>
    </row>
    <row r="180">
      <c r="A180" t="inlineStr">
        <is>
          <t>HO</t>
        </is>
      </c>
      <c r="B180" t="inlineStr">
        <is>
          <t>Retailbanking</t>
        </is>
      </c>
      <c r="C180" t="inlineStr">
        <is>
          <t>c_LnCcSchemeAccountHeadMapping.aspx</t>
        </is>
      </c>
      <c r="D180" t="inlineStr">
        <is>
          <t>HO/Retailbanking/c_LnCcSchemeAccountHeadMapping.aspx</t>
        </is>
      </c>
      <c r="E180" t="inlineStr">
        <is>
          <t>Medium</t>
        </is>
      </c>
      <c r="F180" s="25">
        <f>VLOOKUP(E180,Assumptions!$A$5:$B$8,2,0)</f>
        <v/>
      </c>
    </row>
    <row r="181">
      <c r="A181" t="inlineStr">
        <is>
          <t>HO</t>
        </is>
      </c>
      <c r="B181" t="inlineStr">
        <is>
          <t>Retailbanking</t>
        </is>
      </c>
      <c r="C181" t="inlineStr">
        <is>
          <t>c_LnSancAuthority.aspx</t>
        </is>
      </c>
      <c r="D181" t="inlineStr">
        <is>
          <t>HO/Retailbanking/c_LnSancAuthority.aspx</t>
        </is>
      </c>
      <c r="E181" t="inlineStr">
        <is>
          <t>Medium</t>
        </is>
      </c>
      <c r="F181" s="25">
        <f>VLOOKUP(E181,Assumptions!$A$5:$B$8,2,0)</f>
        <v/>
      </c>
    </row>
    <row r="182">
      <c r="A182" t="inlineStr">
        <is>
          <t>HO</t>
        </is>
      </c>
      <c r="B182" t="inlineStr">
        <is>
          <t>Retailbanking</t>
        </is>
      </c>
      <c r="C182" t="inlineStr">
        <is>
          <t>c_LoanPreClsrIntSlab.aspx</t>
        </is>
      </c>
      <c r="D182" t="inlineStr">
        <is>
          <t>HO/Retailbanking/c_LoanPreClsrIntSlab.aspx</t>
        </is>
      </c>
      <c r="E182" t="inlineStr">
        <is>
          <t>Medium</t>
        </is>
      </c>
      <c r="F182" s="25">
        <f>VLOOKUP(E182,Assumptions!$A$5:$B$8,2,0)</f>
        <v/>
      </c>
    </row>
    <row r="183">
      <c r="A183" t="inlineStr">
        <is>
          <t>HO</t>
        </is>
      </c>
      <c r="B183" t="inlineStr">
        <is>
          <t>Retailbanking</t>
        </is>
      </c>
      <c r="C183" t="inlineStr">
        <is>
          <t>c_LoanScheme.aspx</t>
        </is>
      </c>
      <c r="D183" t="inlineStr">
        <is>
          <t>HO/Retailbanking/c_LoanScheme.aspx</t>
        </is>
      </c>
      <c r="E183" t="inlineStr">
        <is>
          <t>Medium</t>
        </is>
      </c>
      <c r="F183" s="25">
        <f>VLOOKUP(E183,Assumptions!$A$5:$B$8,2,0)</f>
        <v/>
      </c>
    </row>
    <row r="184">
      <c r="A184" t="inlineStr">
        <is>
          <t>HO</t>
        </is>
      </c>
      <c r="B184" t="inlineStr">
        <is>
          <t>Retailbanking</t>
        </is>
      </c>
      <c r="C184" t="inlineStr">
        <is>
          <t>c_NRLMAccHead.aspx</t>
        </is>
      </c>
      <c r="D184" t="inlineStr">
        <is>
          <t>HO/Retailbanking/c_NRLMAccHead.aspx</t>
        </is>
      </c>
      <c r="E184" t="inlineStr">
        <is>
          <t>Medium</t>
        </is>
      </c>
      <c r="F184" s="25">
        <f>VLOOKUP(E184,Assumptions!$A$5:$B$8,2,0)</f>
        <v/>
      </c>
    </row>
    <row r="185">
      <c r="A185" t="inlineStr">
        <is>
          <t>HO</t>
        </is>
      </c>
      <c r="B185" t="inlineStr">
        <is>
          <t>Retailbanking</t>
        </is>
      </c>
      <c r="C185" t="inlineStr">
        <is>
          <t>d_DepSchExclDEAF.aspx</t>
        </is>
      </c>
      <c r="D185" t="inlineStr">
        <is>
          <t>HO/Retailbanking/d_DepSchExclDEAF.aspx</t>
        </is>
      </c>
      <c r="E185" t="inlineStr">
        <is>
          <t>Medium</t>
        </is>
      </c>
      <c r="F185" s="25">
        <f>VLOOKUP(E185,Assumptions!$A$5:$B$8,2,0)</f>
        <v/>
      </c>
    </row>
    <row r="186">
      <c r="A186" t="inlineStr">
        <is>
          <t>HO</t>
        </is>
      </c>
      <c r="B186" t="inlineStr">
        <is>
          <t>Retailbanking</t>
        </is>
      </c>
      <c r="C186" t="inlineStr">
        <is>
          <t>d_DepositScheme.aspx</t>
        </is>
      </c>
      <c r="D186" t="inlineStr">
        <is>
          <t>HO/Retailbanking/d_DepositScheme.aspx</t>
        </is>
      </c>
      <c r="E186" t="inlineStr">
        <is>
          <t>Medium</t>
        </is>
      </c>
      <c r="F186" s="25">
        <f>VLOOKUP(E186,Assumptions!$A$5:$B$8,2,0)</f>
        <v/>
      </c>
    </row>
    <row r="187">
      <c r="A187" t="inlineStr">
        <is>
          <t>HO</t>
        </is>
      </c>
      <c r="B187" t="inlineStr">
        <is>
          <t>Retailbanking</t>
        </is>
      </c>
      <c r="C187" t="inlineStr">
        <is>
          <t>d_DepositSchemeAccountHeadMapping.aspx</t>
        </is>
      </c>
      <c r="D187" t="inlineStr">
        <is>
          <t>HO/Retailbanking/d_DepositSchemeAccountHeadMapping.aspx</t>
        </is>
      </c>
      <c r="E187" t="inlineStr">
        <is>
          <t>Medium</t>
        </is>
      </c>
      <c r="F187" s="25">
        <f>VLOOKUP(E187,Assumptions!$A$5:$B$8,2,0)</f>
        <v/>
      </c>
    </row>
    <row r="188">
      <c r="A188" t="inlineStr">
        <is>
          <t>HO</t>
        </is>
      </c>
      <c r="B188" t="inlineStr">
        <is>
          <t>Retailbanking</t>
        </is>
      </c>
      <c r="C188" t="inlineStr">
        <is>
          <t>d_DepositSchemeBulk.aspx</t>
        </is>
      </c>
      <c r="D188" t="inlineStr">
        <is>
          <t>HO/Retailbanking/d_DepositSchemeBulk.aspx</t>
        </is>
      </c>
      <c r="E188" t="inlineStr">
        <is>
          <t>Medium</t>
        </is>
      </c>
      <c r="F188" s="25">
        <f>VLOOKUP(E188,Assumptions!$A$5:$B$8,2,0)</f>
        <v/>
      </c>
    </row>
    <row r="189">
      <c r="A189" t="inlineStr">
        <is>
          <t>HO</t>
        </is>
      </c>
      <c r="B189" t="inlineStr">
        <is>
          <t>Retailbanking</t>
        </is>
      </c>
      <c r="C189" t="inlineStr">
        <is>
          <t>d_TDSCategoryWiseSetting.aspx</t>
        </is>
      </c>
      <c r="D189" t="inlineStr">
        <is>
          <t>HO/Retailbanking/d_TDSCategoryWiseSetting.aspx</t>
        </is>
      </c>
      <c r="E189" t="inlineStr">
        <is>
          <t>Medium</t>
        </is>
      </c>
      <c r="F189" s="25">
        <f>VLOOKUP(E189,Assumptions!$A$5:$B$8,2,0)</f>
        <v/>
      </c>
    </row>
    <row r="190">
      <c r="A190" t="inlineStr">
        <is>
          <t>HO</t>
        </is>
      </c>
      <c r="B190" t="inlineStr">
        <is>
          <t>Retailbanking</t>
        </is>
      </c>
      <c r="C190" t="inlineStr">
        <is>
          <t>g_AllowMinimumBelowBalSourceMapping.aspx</t>
        </is>
      </c>
      <c r="D190" t="inlineStr">
        <is>
          <t>HO/Retailbanking/g_AllowMinimumBelowBalSourceMapping.aspx</t>
        </is>
      </c>
      <c r="E190" t="inlineStr">
        <is>
          <t>Simple</t>
        </is>
      </c>
      <c r="F190" s="25">
        <f>VLOOKUP(E190,Assumptions!$A$5:$B$8,2,0)</f>
        <v/>
      </c>
    </row>
    <row r="191">
      <c r="A191" t="inlineStr">
        <is>
          <t>HO</t>
        </is>
      </c>
      <c r="B191" t="inlineStr">
        <is>
          <t>Retailbanking</t>
        </is>
      </c>
      <c r="C191" t="inlineStr">
        <is>
          <t>g_BSTemplateDesign.aspx</t>
        </is>
      </c>
      <c r="D191" t="inlineStr">
        <is>
          <t>HO/Retailbanking/g_BSTemplateDesign.aspx</t>
        </is>
      </c>
      <c r="E191" t="inlineStr">
        <is>
          <t>Simple</t>
        </is>
      </c>
      <c r="F191" s="25">
        <f>VLOOKUP(E191,Assumptions!$A$5:$B$8,2,0)</f>
        <v/>
      </c>
    </row>
    <row r="192">
      <c r="A192" t="inlineStr">
        <is>
          <t>HO</t>
        </is>
      </c>
      <c r="B192" t="inlineStr">
        <is>
          <t>Retailbanking</t>
        </is>
      </c>
      <c r="C192" t="inlineStr">
        <is>
          <t>g_BSTemplateMaster.aspx</t>
        </is>
      </c>
      <c r="D192" t="inlineStr">
        <is>
          <t>HO/Retailbanking/g_BSTemplateMaster.aspx</t>
        </is>
      </c>
      <c r="E192" t="inlineStr">
        <is>
          <t>Simple</t>
        </is>
      </c>
      <c r="F192" s="25">
        <f>VLOOKUP(E192,Assumptions!$A$5:$B$8,2,0)</f>
        <v/>
      </c>
    </row>
    <row r="193">
      <c r="A193" t="inlineStr">
        <is>
          <t>HO</t>
        </is>
      </c>
      <c r="B193" t="inlineStr">
        <is>
          <t>Retailbanking</t>
        </is>
      </c>
      <c r="C193" t="inlineStr">
        <is>
          <t>g_BSTemplateReport.aspx</t>
        </is>
      </c>
      <c r="D193" t="inlineStr">
        <is>
          <t>HO/Retailbanking/g_BSTemplateReport.aspx</t>
        </is>
      </c>
      <c r="E193" t="inlineStr">
        <is>
          <t>Report</t>
        </is>
      </c>
      <c r="F193" s="25">
        <f>VLOOKUP(E193,Assumptions!$A$5:$B$8,2,0)</f>
        <v/>
      </c>
    </row>
    <row r="194">
      <c r="A194" t="inlineStr">
        <is>
          <t>HO</t>
        </is>
      </c>
      <c r="B194" t="inlineStr">
        <is>
          <t>Retailbanking</t>
        </is>
      </c>
      <c r="C194" t="inlineStr">
        <is>
          <t>g_CTRPostalMapping.aspx</t>
        </is>
      </c>
      <c r="D194" t="inlineStr">
        <is>
          <t>HO/Retailbanking/g_CTRPostalMapping.aspx</t>
        </is>
      </c>
      <c r="E194" t="inlineStr">
        <is>
          <t>Simple</t>
        </is>
      </c>
      <c r="F194" s="25">
        <f>VLOOKUP(E194,Assumptions!$A$5:$B$8,2,0)</f>
        <v/>
      </c>
    </row>
    <row r="195">
      <c r="A195" t="inlineStr">
        <is>
          <t>HO</t>
        </is>
      </c>
      <c r="B195" t="inlineStr">
        <is>
          <t>Retailbanking</t>
        </is>
      </c>
      <c r="C195" t="inlineStr">
        <is>
          <t>g_ECSMasterData.aspx</t>
        </is>
      </c>
      <c r="D195" t="inlineStr">
        <is>
          <t>HO/Retailbanking/g_ECSMasterData.aspx</t>
        </is>
      </c>
      <c r="E195" t="inlineStr">
        <is>
          <t>Simple</t>
        </is>
      </c>
      <c r="F195" s="25">
        <f>VLOOKUP(E195,Assumptions!$A$5:$B$8,2,0)</f>
        <v/>
      </c>
    </row>
    <row r="196">
      <c r="A196" t="inlineStr">
        <is>
          <t>HO</t>
        </is>
      </c>
      <c r="B196" t="inlineStr">
        <is>
          <t>Retailbanking</t>
        </is>
      </c>
      <c r="C196" t="inlineStr">
        <is>
          <t>g_PLR.aspx</t>
        </is>
      </c>
      <c r="D196" t="inlineStr">
        <is>
          <t>HO/Retailbanking/g_PLR.aspx</t>
        </is>
      </c>
      <c r="E196" t="inlineStr">
        <is>
          <t>Simple</t>
        </is>
      </c>
      <c r="F196" s="25">
        <f>VLOOKUP(E196,Assumptions!$A$5:$B$8,2,0)</f>
        <v/>
      </c>
    </row>
    <row r="197">
      <c r="A197" t="inlineStr">
        <is>
          <t>HO</t>
        </is>
      </c>
      <c r="B197" t="inlineStr">
        <is>
          <t>Retailbanking</t>
        </is>
      </c>
      <c r="C197" t="inlineStr">
        <is>
          <t>g_RdPenaltyChartSlab.aspx</t>
        </is>
      </c>
      <c r="D197" t="inlineStr">
        <is>
          <t>HO/Retailbanking/g_RdPenaltyChartSlab.aspx</t>
        </is>
      </c>
      <c r="E197" t="inlineStr">
        <is>
          <t>Simple</t>
        </is>
      </c>
      <c r="F197" s="25">
        <f>VLOOKUP(E197,Assumptions!$A$5:$B$8,2,0)</f>
        <v/>
      </c>
    </row>
    <row r="198">
      <c r="A198" t="inlineStr">
        <is>
          <t>HO</t>
        </is>
      </c>
      <c r="B198" t="inlineStr">
        <is>
          <t>Retailbanking</t>
        </is>
      </c>
      <c r="C198" t="inlineStr">
        <is>
          <t>g_ReconciliationTransaction.aspx</t>
        </is>
      </c>
      <c r="D198" t="inlineStr">
        <is>
          <t>HO/Retailbanking/g_ReconciliationTransaction.aspx</t>
        </is>
      </c>
      <c r="E198" t="inlineStr">
        <is>
          <t>Simple</t>
        </is>
      </c>
      <c r="F198" s="25">
        <f>VLOOKUP(E198,Assumptions!$A$5:$B$8,2,0)</f>
        <v/>
      </c>
    </row>
    <row r="199">
      <c r="A199" t="inlineStr">
        <is>
          <t>HO</t>
        </is>
      </c>
      <c r="B199" t="inlineStr">
        <is>
          <t>Retailbanking</t>
        </is>
      </c>
      <c r="C199" t="inlineStr">
        <is>
          <t>g_State_Mapping.aspx</t>
        </is>
      </c>
      <c r="D199" t="inlineStr">
        <is>
          <t>HO/Retailbanking/g_State_Mapping.aspx</t>
        </is>
      </c>
      <c r="E199" t="inlineStr">
        <is>
          <t>Simple</t>
        </is>
      </c>
      <c r="F199" s="25">
        <f>VLOOKUP(E199,Assumptions!$A$5:$B$8,2,0)</f>
        <v/>
      </c>
    </row>
    <row r="200">
      <c r="A200" t="inlineStr">
        <is>
          <t>HO</t>
        </is>
      </c>
      <c r="B200" t="inlineStr">
        <is>
          <t>Retailbanking</t>
        </is>
      </c>
      <c r="C200" t="inlineStr">
        <is>
          <t>g_auditCommitteeMembers.aspx</t>
        </is>
      </c>
      <c r="D200" t="inlineStr">
        <is>
          <t>HO/Retailbanking/g_auditCommitteeMembers.aspx</t>
        </is>
      </c>
      <c r="E200" t="inlineStr">
        <is>
          <t>Simple</t>
        </is>
      </c>
      <c r="F200" s="25">
        <f>VLOOKUP(E200,Assumptions!$A$5:$B$8,2,0)</f>
        <v/>
      </c>
    </row>
    <row r="201">
      <c r="A201" t="inlineStr">
        <is>
          <t>HO</t>
        </is>
      </c>
      <c r="B201" t="inlineStr">
        <is>
          <t>Retailbanking</t>
        </is>
      </c>
      <c r="C201" t="inlineStr">
        <is>
          <t>x_ChargeWaiveOffBySplCat.aspx</t>
        </is>
      </c>
      <c r="D201" t="inlineStr">
        <is>
          <t>HO/Retailbanking/x_ChargeWaiveOffBySplCat.aspx</t>
        </is>
      </c>
      <c r="E201" t="inlineStr">
        <is>
          <t>Medium</t>
        </is>
      </c>
      <c r="F201" s="25">
        <f>VLOOKUP(E201,Assumptions!$A$5:$B$8,2,0)</f>
        <v/>
      </c>
    </row>
    <row r="202">
      <c r="A202" t="inlineStr">
        <is>
          <t>HO</t>
        </is>
      </c>
      <c r="B202" t="inlineStr">
        <is>
          <t>Retailbanking</t>
        </is>
      </c>
      <c r="C202" t="inlineStr">
        <is>
          <t>x_ChequeBookCharges.aspx</t>
        </is>
      </c>
      <c r="D202" t="inlineStr">
        <is>
          <t>HO/Retailbanking/x_ChequeBookCharges.aspx</t>
        </is>
      </c>
      <c r="E202" t="inlineStr">
        <is>
          <t>Medium</t>
        </is>
      </c>
      <c r="F202" s="25">
        <f>VLOOKUP(E202,Assumptions!$A$5:$B$8,2,0)</f>
        <v/>
      </c>
    </row>
    <row r="203">
      <c r="A203" t="inlineStr">
        <is>
          <t>HO</t>
        </is>
      </c>
      <c r="B203" t="inlineStr">
        <is>
          <t>Retailbanking</t>
        </is>
      </c>
      <c r="C203" t="inlineStr">
        <is>
          <t>x_IncomeSTheadMapping.aspx</t>
        </is>
      </c>
      <c r="D203" t="inlineStr">
        <is>
          <t>HO/Retailbanking/x_IncomeSTheadMapping.aspx</t>
        </is>
      </c>
      <c r="E203" t="inlineStr">
        <is>
          <t>Medium</t>
        </is>
      </c>
      <c r="F203" s="25">
        <f>VLOOKUP(E203,Assumptions!$A$5:$B$8,2,0)</f>
        <v/>
      </c>
    </row>
    <row r="204">
      <c r="A204" t="inlineStr">
        <is>
          <t>HO</t>
        </is>
      </c>
      <c r="B204" t="inlineStr">
        <is>
          <t>Retailbanking</t>
        </is>
      </c>
      <c r="C204" t="inlineStr">
        <is>
          <t>x_MICREcsAccountMapping.aspx</t>
        </is>
      </c>
      <c r="D204" t="inlineStr">
        <is>
          <t>HO/Retailbanking/x_MICREcsAccountMapping.aspx</t>
        </is>
      </c>
      <c r="E204" t="inlineStr">
        <is>
          <t>Medium</t>
        </is>
      </c>
      <c r="F204" s="25">
        <f>VLOOKUP(E204,Assumptions!$A$5:$B$8,2,0)</f>
        <v/>
      </c>
    </row>
    <row r="205">
      <c r="A205" t="inlineStr">
        <is>
          <t>HO</t>
        </is>
      </c>
      <c r="B205" t="inlineStr">
        <is>
          <t>Retailbanking</t>
        </is>
      </c>
      <c r="C205" t="inlineStr">
        <is>
          <t>x_OdTrDescMapping.aspx</t>
        </is>
      </c>
      <c r="D205" t="inlineStr">
        <is>
          <t>HO/Retailbanking/x_OdTrDescMapping.aspx</t>
        </is>
      </c>
      <c r="E205" t="inlineStr">
        <is>
          <t>Medium</t>
        </is>
      </c>
      <c r="F205" s="25">
        <f>VLOOKUP(E205,Assumptions!$A$5:$B$8,2,0)</f>
        <v/>
      </c>
    </row>
    <row r="206">
      <c r="A206" t="inlineStr">
        <is>
          <t>HO</t>
        </is>
      </c>
      <c r="B206" t="inlineStr">
        <is>
          <t>Retailbanking</t>
        </is>
      </c>
      <c r="C206" t="inlineStr">
        <is>
          <t>x_TBPLBSFormats.aspx</t>
        </is>
      </c>
      <c r="D206" t="inlineStr">
        <is>
          <t>HO/Retailbanking/x_TBPLBSFormats.aspx</t>
        </is>
      </c>
      <c r="E206" t="inlineStr">
        <is>
          <t>Medium</t>
        </is>
      </c>
      <c r="F206" s="25">
        <f>VLOOKUP(E206,Assumptions!$A$5:$B$8,2,0)</f>
        <v/>
      </c>
    </row>
    <row r="207">
      <c r="A207" t="inlineStr">
        <is>
          <t>HO</t>
        </is>
      </c>
      <c r="B207" t="inlineStr">
        <is>
          <t>Retailbanking</t>
        </is>
      </c>
      <c r="C207" t="inlineStr">
        <is>
          <t>x_TdsReversal.aspx</t>
        </is>
      </c>
      <c r="D207" t="inlineStr">
        <is>
          <t>HO/Retailbanking/x_TdsReversal.aspx</t>
        </is>
      </c>
      <c r="E207" t="inlineStr">
        <is>
          <t>Medium</t>
        </is>
      </c>
      <c r="F207" s="25">
        <f>VLOOKUP(E207,Assumptions!$A$5:$B$8,2,0)</f>
        <v/>
      </c>
    </row>
    <row r="208">
      <c r="A208" t="inlineStr">
        <is>
          <t>HO</t>
        </is>
      </c>
      <c r="B208" t="inlineStr"/>
      <c r="C208" t="inlineStr">
        <is>
          <t>SMSAutoConfig.aspx</t>
        </is>
      </c>
      <c r="D208" t="inlineStr">
        <is>
          <t>HO/SMSAutoConfig.aspx</t>
        </is>
      </c>
      <c r="E208" t="inlineStr">
        <is>
          <t>Medium</t>
        </is>
      </c>
      <c r="F208" s="25">
        <f>VLOOKUP(E208,Assumptions!$A$5:$B$8,2,0)</f>
        <v/>
      </c>
    </row>
    <row r="209">
      <c r="A209" t="inlineStr">
        <is>
          <t>HO</t>
        </is>
      </c>
      <c r="B209" t="inlineStr"/>
      <c r="C209" t="inlineStr">
        <is>
          <t>SignaturePreview.aspx</t>
        </is>
      </c>
      <c r="D209" t="inlineStr">
        <is>
          <t>HO/SignaturePreview.aspx</t>
        </is>
      </c>
      <c r="E209" t="inlineStr">
        <is>
          <t>Medium</t>
        </is>
      </c>
      <c r="F209" s="25">
        <f>VLOOKUP(E209,Assumptions!$A$5:$B$8,2,0)</f>
        <v/>
      </c>
    </row>
    <row r="210">
      <c r="A210" t="inlineStr">
        <is>
          <t>HO</t>
        </is>
      </c>
      <c r="B210" t="inlineStr"/>
      <c r="C210" t="inlineStr">
        <is>
          <t>SmsConfig.aspx</t>
        </is>
      </c>
      <c r="D210" t="inlineStr">
        <is>
          <t>HO/SmsConfig.aspx</t>
        </is>
      </c>
      <c r="E210" t="inlineStr">
        <is>
          <t>Medium</t>
        </is>
      </c>
      <c r="F210" s="25">
        <f>VLOOKUP(E210,Assumptions!$A$5:$B$8,2,0)</f>
        <v/>
      </c>
    </row>
    <row r="211">
      <c r="A211" t="inlineStr">
        <is>
          <t>HO</t>
        </is>
      </c>
      <c r="B211" t="inlineStr"/>
      <c r="C211" t="inlineStr">
        <is>
          <t>SubMemSubStatus.aspx</t>
        </is>
      </c>
      <c r="D211" t="inlineStr">
        <is>
          <t>HO/SubMemSubStatus.aspx</t>
        </is>
      </c>
      <c r="E211" t="inlineStr">
        <is>
          <t>Medium</t>
        </is>
      </c>
      <c r="F211" s="25">
        <f>VLOOKUP(E211,Assumptions!$A$5:$B$8,2,0)</f>
        <v/>
      </c>
    </row>
    <row r="212">
      <c r="A212" t="inlineStr">
        <is>
          <t>HO</t>
        </is>
      </c>
      <c r="B212" t="inlineStr"/>
      <c r="C212" t="inlineStr">
        <is>
          <t>Sys_AccessControl.aspx</t>
        </is>
      </c>
      <c r="D212" t="inlineStr">
        <is>
          <t>HO/Sys_AccessControl.aspx</t>
        </is>
      </c>
      <c r="E212" t="inlineStr">
        <is>
          <t>Medium</t>
        </is>
      </c>
      <c r="F212" s="25">
        <f>VLOOKUP(E212,Assumptions!$A$5:$B$8,2,0)</f>
        <v/>
      </c>
    </row>
    <row r="213">
      <c r="A213" t="inlineStr">
        <is>
          <t>HO</t>
        </is>
      </c>
      <c r="B213" t="inlineStr"/>
      <c r="C213" t="inlineStr">
        <is>
          <t>Sys_MetaData.aspx</t>
        </is>
      </c>
      <c r="D213" t="inlineStr">
        <is>
          <t>HO/Sys_MetaData.aspx</t>
        </is>
      </c>
      <c r="E213" t="inlineStr">
        <is>
          <t>Medium</t>
        </is>
      </c>
      <c r="F213" s="25">
        <f>VLOOKUP(E213,Assumptions!$A$5:$B$8,2,0)</f>
        <v/>
      </c>
    </row>
    <row r="214">
      <c r="A214" t="inlineStr">
        <is>
          <t>HO</t>
        </is>
      </c>
      <c r="B214" t="inlineStr"/>
      <c r="C214" t="inlineStr">
        <is>
          <t>TerroristGroupdetails.aspx</t>
        </is>
      </c>
      <c r="D214" t="inlineStr">
        <is>
          <t>HO/TerroristGroupdetails.aspx</t>
        </is>
      </c>
      <c r="E214" t="inlineStr">
        <is>
          <t>Medium</t>
        </is>
      </c>
      <c r="F214" s="25">
        <f>VLOOKUP(E214,Assumptions!$A$5:$B$8,2,0)</f>
        <v/>
      </c>
    </row>
    <row r="215">
      <c r="A215" t="inlineStr">
        <is>
          <t>HO</t>
        </is>
      </c>
      <c r="B215" t="inlineStr"/>
      <c r="C215" t="inlineStr">
        <is>
          <t>TerroristGroupdetails_V1.aspx</t>
        </is>
      </c>
      <c r="D215" t="inlineStr">
        <is>
          <t>HO/TerroristGroupdetails_V1.aspx</t>
        </is>
      </c>
      <c r="E215" t="inlineStr">
        <is>
          <t>Medium</t>
        </is>
      </c>
      <c r="F215" s="25">
        <f>VLOOKUP(E215,Assumptions!$A$5:$B$8,2,0)</f>
        <v/>
      </c>
    </row>
    <row r="216">
      <c r="A216" t="inlineStr">
        <is>
          <t>HO</t>
        </is>
      </c>
      <c r="B216" t="inlineStr"/>
      <c r="C216" t="inlineStr">
        <is>
          <t>VerifyAadhar.aspx</t>
        </is>
      </c>
      <c r="D216" t="inlineStr">
        <is>
          <t>HO/VerifyAadhar.aspx</t>
        </is>
      </c>
      <c r="E216" t="inlineStr">
        <is>
          <t>Medium</t>
        </is>
      </c>
      <c r="F216" s="25">
        <f>VLOOKUP(E216,Assumptions!$A$5:$B$8,2,0)</f>
        <v/>
      </c>
    </row>
    <row r="217">
      <c r="A217" t="inlineStr">
        <is>
          <t>HO</t>
        </is>
      </c>
      <c r="B217" t="inlineStr"/>
      <c r="C217" t="inlineStr">
        <is>
          <t>VerifyDocuments.aspx</t>
        </is>
      </c>
      <c r="D217" t="inlineStr">
        <is>
          <t>HO/VerifyDocuments.aspx</t>
        </is>
      </c>
      <c r="E217" t="inlineStr">
        <is>
          <t>Medium</t>
        </is>
      </c>
      <c r="F217" s="25">
        <f>VLOOKUP(E217,Assumptions!$A$5:$B$8,2,0)</f>
        <v/>
      </c>
    </row>
    <row r="218">
      <c r="A218" t="inlineStr">
        <is>
          <t>HO</t>
        </is>
      </c>
      <c r="B218" t="inlineStr"/>
      <c r="C218" t="inlineStr">
        <is>
          <t>VerifyPancard.aspx</t>
        </is>
      </c>
      <c r="D218" t="inlineStr">
        <is>
          <t>HO/VerifyPancard.aspx</t>
        </is>
      </c>
      <c r="E218" t="inlineStr">
        <is>
          <t>Medium</t>
        </is>
      </c>
      <c r="F218" s="25">
        <f>VLOOKUP(E218,Assumptions!$A$5:$B$8,2,0)</f>
        <v/>
      </c>
    </row>
    <row r="219">
      <c r="A219" t="inlineStr">
        <is>
          <t>HO</t>
        </is>
      </c>
      <c r="B219" t="inlineStr"/>
      <c r="C219" t="inlineStr">
        <is>
          <t>a_UserOtherBranchLogin.aspx</t>
        </is>
      </c>
      <c r="D219" t="inlineStr">
        <is>
          <t>HO/a_UserOtherBranchLogin.aspx</t>
        </is>
      </c>
      <c r="E219" t="inlineStr">
        <is>
          <t>Medium</t>
        </is>
      </c>
      <c r="F219" s="25">
        <f>VLOOKUP(E219,Assumptions!$A$5:$B$8,2,0)</f>
        <v/>
      </c>
    </row>
    <row r="220">
      <c r="A220" t="inlineStr">
        <is>
          <t>HO</t>
        </is>
      </c>
      <c r="B220" t="inlineStr"/>
      <c r="C220" t="inlineStr">
        <is>
          <t>b_ATMAccCatSkip.aspx</t>
        </is>
      </c>
      <c r="D220" t="inlineStr">
        <is>
          <t>HO/b_ATMAccCatSkip.aspx</t>
        </is>
      </c>
      <c r="E220" t="inlineStr">
        <is>
          <t>Simple</t>
        </is>
      </c>
      <c r="F220" s="25">
        <f>VLOOKUP(E220,Assumptions!$A$5:$B$8,2,0)</f>
        <v/>
      </c>
    </row>
    <row r="221">
      <c r="A221" t="inlineStr">
        <is>
          <t>HO</t>
        </is>
      </c>
      <c r="B221" t="inlineStr"/>
      <c r="C221" t="inlineStr">
        <is>
          <t>b_AccountEmailMap.aspx</t>
        </is>
      </c>
      <c r="D221" t="inlineStr">
        <is>
          <t>HO/b_AccountEmailMap.aspx</t>
        </is>
      </c>
      <c r="E221" t="inlineStr">
        <is>
          <t>Simple</t>
        </is>
      </c>
      <c r="F221" s="25">
        <f>VLOOKUP(E221,Assumptions!$A$5:$B$8,2,0)</f>
        <v/>
      </c>
    </row>
    <row r="222">
      <c r="A222" t="inlineStr">
        <is>
          <t>HO</t>
        </is>
      </c>
      <c r="B222" t="inlineStr"/>
      <c r="C222" t="inlineStr">
        <is>
          <t>b_AutoScheduleLog.aspx</t>
        </is>
      </c>
      <c r="D222" t="inlineStr">
        <is>
          <t>HO/b_AutoScheduleLog.aspx</t>
        </is>
      </c>
      <c r="E222" t="inlineStr">
        <is>
          <t>Simple</t>
        </is>
      </c>
      <c r="F222" s="25">
        <f>VLOOKUP(E222,Assumptions!$A$5:$B$8,2,0)</f>
        <v/>
      </c>
    </row>
    <row r="223">
      <c r="A223" t="inlineStr">
        <is>
          <t>HO</t>
        </is>
      </c>
      <c r="B223" t="inlineStr"/>
      <c r="C223" t="inlineStr">
        <is>
          <t>b_BlackListedAcc.aspx</t>
        </is>
      </c>
      <c r="D223" t="inlineStr">
        <is>
          <t>HO/b_BlackListedAcc.aspx</t>
        </is>
      </c>
      <c r="E223" t="inlineStr">
        <is>
          <t>Simple</t>
        </is>
      </c>
      <c r="F223" s="25">
        <f>VLOOKUP(E223,Assumptions!$A$5:$B$8,2,0)</f>
        <v/>
      </c>
    </row>
    <row r="224">
      <c r="A224" t="inlineStr">
        <is>
          <t>HO</t>
        </is>
      </c>
      <c r="B224" t="inlineStr"/>
      <c r="C224" t="inlineStr">
        <is>
          <t>b_CTSSubMemberBank.aspx</t>
        </is>
      </c>
      <c r="D224" t="inlineStr">
        <is>
          <t>HO/b_CTSSubMemberBank.aspx</t>
        </is>
      </c>
      <c r="E224" t="inlineStr">
        <is>
          <t>Simple</t>
        </is>
      </c>
      <c r="F224" s="25">
        <f>VLOOKUP(E224,Assumptions!$A$5:$B$8,2,0)</f>
        <v/>
      </c>
    </row>
    <row r="225">
      <c r="A225" t="inlineStr">
        <is>
          <t>HO</t>
        </is>
      </c>
      <c r="B225" t="inlineStr"/>
      <c r="C225" t="inlineStr">
        <is>
          <t>b_ClientCKYCRUpdateFlagPopup.aspx</t>
        </is>
      </c>
      <c r="D225" t="inlineStr">
        <is>
          <t>HO/b_ClientCKYCRUpdateFlagPopup.aspx</t>
        </is>
      </c>
      <c r="E225" t="inlineStr">
        <is>
          <t>Simple</t>
        </is>
      </c>
      <c r="F225" s="25">
        <f>VLOOKUP(E225,Assumptions!$A$5:$B$8,2,0)</f>
        <v/>
      </c>
    </row>
    <row r="226">
      <c r="A226" t="inlineStr">
        <is>
          <t>HO</t>
        </is>
      </c>
      <c r="B226" t="inlineStr"/>
      <c r="C226" t="inlineStr">
        <is>
          <t>b_ClientCKYCR_V1.aspx</t>
        </is>
      </c>
      <c r="D226" t="inlineStr">
        <is>
          <t>HO/b_ClientCKYCR_V1.aspx</t>
        </is>
      </c>
      <c r="E226" t="inlineStr">
        <is>
          <t>Simple</t>
        </is>
      </c>
      <c r="F226" s="25">
        <f>VLOOKUP(E226,Assumptions!$A$5:$B$8,2,0)</f>
        <v/>
      </c>
    </row>
    <row r="227">
      <c r="A227" t="inlineStr">
        <is>
          <t>HO</t>
        </is>
      </c>
      <c r="B227" t="inlineStr"/>
      <c r="C227" t="inlineStr">
        <is>
          <t>b_ClientCKYCR_V3.aspx</t>
        </is>
      </c>
      <c r="D227" t="inlineStr">
        <is>
          <t>HO/b_ClientCKYCR_V3.aspx</t>
        </is>
      </c>
      <c r="E227" t="inlineStr">
        <is>
          <t>Simple</t>
        </is>
      </c>
      <c r="F227" s="25">
        <f>VLOOKUP(E227,Assumptions!$A$5:$B$8,2,0)</f>
        <v/>
      </c>
    </row>
    <row r="228">
      <c r="A228" t="inlineStr">
        <is>
          <t>HO</t>
        </is>
      </c>
      <c r="B228" t="inlineStr"/>
      <c r="C228" t="inlineStr">
        <is>
          <t>b_ClientSTRInfo.aspx</t>
        </is>
      </c>
      <c r="D228" t="inlineStr">
        <is>
          <t>HO/b_ClientSTRInfo.aspx</t>
        </is>
      </c>
      <c r="E228" t="inlineStr">
        <is>
          <t>Simple</t>
        </is>
      </c>
      <c r="F228" s="25">
        <f>VLOOKUP(E228,Assumptions!$A$5:$B$8,2,0)</f>
        <v/>
      </c>
    </row>
    <row r="229">
      <c r="A229" t="inlineStr">
        <is>
          <t>HO</t>
        </is>
      </c>
      <c r="B229" t="inlineStr"/>
      <c r="C229" t="inlineStr">
        <is>
          <t>b_ClientV1.aspx</t>
        </is>
      </c>
      <c r="D229" t="inlineStr">
        <is>
          <t>HO/b_ClientV1.aspx</t>
        </is>
      </c>
      <c r="E229" t="inlineStr">
        <is>
          <t>Simple</t>
        </is>
      </c>
      <c r="F229" s="25">
        <f>VLOOKUP(E229,Assumptions!$A$5:$B$8,2,0)</f>
        <v/>
      </c>
    </row>
    <row r="230">
      <c r="A230" t="inlineStr">
        <is>
          <t>HO</t>
        </is>
      </c>
      <c r="B230" t="inlineStr"/>
      <c r="C230" t="inlineStr">
        <is>
          <t>b_GstExcludeGL.aspx</t>
        </is>
      </c>
      <c r="D230" t="inlineStr">
        <is>
          <t>HO/b_GstExcludeGL.aspx</t>
        </is>
      </c>
      <c r="E230" t="inlineStr">
        <is>
          <t>Simple</t>
        </is>
      </c>
      <c r="F230" s="25">
        <f>VLOOKUP(E230,Assumptions!$A$5:$B$8,2,0)</f>
        <v/>
      </c>
    </row>
    <row r="231">
      <c r="A231" t="inlineStr">
        <is>
          <t>HO</t>
        </is>
      </c>
      <c r="B231" t="inlineStr"/>
      <c r="C231" t="inlineStr">
        <is>
          <t>b_IMPSUPILimit.aspx</t>
        </is>
      </c>
      <c r="D231" t="inlineStr">
        <is>
          <t>HO/b_IMPSUPILimit.aspx</t>
        </is>
      </c>
      <c r="E231" t="inlineStr">
        <is>
          <t>Simple</t>
        </is>
      </c>
      <c r="F231" s="25">
        <f>VLOOKUP(E231,Assumptions!$A$5:$B$8,2,0)</f>
        <v/>
      </c>
    </row>
    <row r="232">
      <c r="A232" t="inlineStr">
        <is>
          <t>HO</t>
        </is>
      </c>
      <c r="B232" t="inlineStr"/>
      <c r="C232" t="inlineStr">
        <is>
          <t>b_IbtLimitMapping.aspx</t>
        </is>
      </c>
      <c r="D232" t="inlineStr">
        <is>
          <t>HO/b_IbtLimitMapping.aspx</t>
        </is>
      </c>
      <c r="E232" t="inlineStr">
        <is>
          <t>Simple</t>
        </is>
      </c>
      <c r="F232" s="25">
        <f>VLOOKUP(E232,Assumptions!$A$5:$B$8,2,0)</f>
        <v/>
      </c>
    </row>
    <row r="233">
      <c r="A233" t="inlineStr">
        <is>
          <t>HO</t>
        </is>
      </c>
      <c r="B233" t="inlineStr"/>
      <c r="C233" t="inlineStr">
        <is>
          <t>b_PigmyIntCommChart.aspx</t>
        </is>
      </c>
      <c r="D233" t="inlineStr">
        <is>
          <t>HO/b_PigmyIntCommChart.aspx</t>
        </is>
      </c>
      <c r="E233" t="inlineStr">
        <is>
          <t>Simple</t>
        </is>
      </c>
      <c r="F233" s="25">
        <f>VLOOKUP(E233,Assumptions!$A$5:$B$8,2,0)</f>
        <v/>
      </c>
    </row>
    <row r="234">
      <c r="A234" t="inlineStr">
        <is>
          <t>HO</t>
        </is>
      </c>
      <c r="B234" t="inlineStr"/>
      <c r="C234" t="inlineStr">
        <is>
          <t>b_PigmyInterestSlab.aspx</t>
        </is>
      </c>
      <c r="D234" t="inlineStr">
        <is>
          <t>HO/b_PigmyInterestSlab.aspx</t>
        </is>
      </c>
      <c r="E234" t="inlineStr">
        <is>
          <t>Simple</t>
        </is>
      </c>
      <c r="F234" s="25">
        <f>VLOOKUP(E234,Assumptions!$A$5:$B$8,2,0)</f>
        <v/>
      </c>
    </row>
    <row r="235">
      <c r="A235" t="inlineStr">
        <is>
          <t>HO</t>
        </is>
      </c>
      <c r="B235" t="inlineStr"/>
      <c r="C235" t="inlineStr">
        <is>
          <t>b_RiskCategory.aspx</t>
        </is>
      </c>
      <c r="D235" t="inlineStr">
        <is>
          <t>HO/b_RiskCategory.aspx</t>
        </is>
      </c>
      <c r="E235" t="inlineStr">
        <is>
          <t>Simple</t>
        </is>
      </c>
      <c r="F235" s="25">
        <f>VLOOKUP(E235,Assumptions!$A$5:$B$8,2,0)</f>
        <v/>
      </c>
    </row>
    <row r="236">
      <c r="A236" t="inlineStr">
        <is>
          <t>HO</t>
        </is>
      </c>
      <c r="B236" t="inlineStr"/>
      <c r="C236" t="inlineStr">
        <is>
          <t>b_clientv2.aspx</t>
        </is>
      </c>
      <c r="D236" t="inlineStr">
        <is>
          <t>HO/b_clientv2.aspx</t>
        </is>
      </c>
      <c r="E236" t="inlineStr">
        <is>
          <t>Simple</t>
        </is>
      </c>
      <c r="F236" s="25">
        <f>VLOOKUP(E236,Assumptions!$A$5:$B$8,2,0)</f>
        <v/>
      </c>
    </row>
    <row r="237">
      <c r="A237" t="inlineStr">
        <is>
          <t>HO</t>
        </is>
      </c>
      <c r="B237" t="inlineStr">
        <is>
          <t>client_image_verify</t>
        </is>
      </c>
      <c r="C237" t="inlineStr">
        <is>
          <t>client_doc_verify.aspx</t>
        </is>
      </c>
      <c r="D237" t="inlineStr">
        <is>
          <t>HO/client_image_verify/client_doc_verify.aspx</t>
        </is>
      </c>
      <c r="E237" t="inlineStr">
        <is>
          <t>Medium</t>
        </is>
      </c>
      <c r="F237" s="25">
        <f>VLOOKUP(E237,Assumptions!$A$5:$B$8,2,0)</f>
        <v/>
      </c>
    </row>
    <row r="238">
      <c r="A238" t="inlineStr">
        <is>
          <t>HO</t>
        </is>
      </c>
      <c r="B238" t="inlineStr">
        <is>
          <t>client_image_verify</t>
        </is>
      </c>
      <c r="C238" t="inlineStr">
        <is>
          <t>client_doc_verify_handler.aspx</t>
        </is>
      </c>
      <c r="D238" t="inlineStr">
        <is>
          <t>HO/client_image_verify/client_doc_verify_handler.aspx</t>
        </is>
      </c>
      <c r="E238" t="inlineStr">
        <is>
          <t>Medium</t>
        </is>
      </c>
      <c r="F238" s="25">
        <f>VLOOKUP(E238,Assumptions!$A$5:$B$8,2,0)</f>
        <v/>
      </c>
    </row>
    <row r="239">
      <c r="A239" t="inlineStr">
        <is>
          <t>HO</t>
        </is>
      </c>
      <c r="B239" t="inlineStr"/>
      <c r="C239" t="inlineStr">
        <is>
          <t>g_BlackListedDomain.aspx</t>
        </is>
      </c>
      <c r="D239" t="inlineStr">
        <is>
          <t>HO/g_BlackListedDomain.aspx</t>
        </is>
      </c>
      <c r="E239" t="inlineStr">
        <is>
          <t>Simple</t>
        </is>
      </c>
      <c r="F239" s="25">
        <f>VLOOKUP(E239,Assumptions!$A$5:$B$8,2,0)</f>
        <v/>
      </c>
    </row>
    <row r="240">
      <c r="A240" t="inlineStr">
        <is>
          <t>HO</t>
        </is>
      </c>
      <c r="B240" t="inlineStr"/>
      <c r="C240" t="inlineStr">
        <is>
          <t>g_ClientGroup.aspx</t>
        </is>
      </c>
      <c r="D240" t="inlineStr">
        <is>
          <t>HO/g_ClientGroup.aspx</t>
        </is>
      </c>
      <c r="E240" t="inlineStr">
        <is>
          <t>Simple</t>
        </is>
      </c>
      <c r="F240" s="25">
        <f>VLOOKUP(E240,Assumptions!$A$5:$B$8,2,0)</f>
        <v/>
      </c>
    </row>
    <row r="241">
      <c r="A241" t="inlineStr">
        <is>
          <t>HO</t>
        </is>
      </c>
      <c r="B241" t="inlineStr"/>
      <c r="C241" t="inlineStr">
        <is>
          <t>g_ClientIncomeDet.aspx</t>
        </is>
      </c>
      <c r="D241" t="inlineStr">
        <is>
          <t>HO/g_ClientIncomeDet.aspx</t>
        </is>
      </c>
      <c r="E241" t="inlineStr">
        <is>
          <t>Simple</t>
        </is>
      </c>
      <c r="F241" s="25">
        <f>VLOOKUP(E241,Assumptions!$A$5:$B$8,2,0)</f>
        <v/>
      </c>
    </row>
    <row r="242">
      <c r="A242" t="inlineStr">
        <is>
          <t>HO</t>
        </is>
      </c>
      <c r="B242" t="inlineStr"/>
      <c r="C242" t="inlineStr">
        <is>
          <t>g_CustomerOnBoarding.aspx</t>
        </is>
      </c>
      <c r="D242" t="inlineStr">
        <is>
          <t>HO/g_CustomerOnBoarding.aspx</t>
        </is>
      </c>
      <c r="E242" t="inlineStr">
        <is>
          <t>Simple</t>
        </is>
      </c>
      <c r="F242" s="25">
        <f>VLOOKUP(E242,Assumptions!$A$5:$B$8,2,0)</f>
        <v/>
      </c>
    </row>
    <row r="243">
      <c r="A243" t="inlineStr">
        <is>
          <t>HO</t>
        </is>
      </c>
      <c r="B243" t="inlineStr"/>
      <c r="C243" t="inlineStr">
        <is>
          <t>g_PigmyCommisionMapping.aspx</t>
        </is>
      </c>
      <c r="D243" t="inlineStr">
        <is>
          <t>HO/g_PigmyCommisionMapping.aspx</t>
        </is>
      </c>
      <c r="E243" t="inlineStr">
        <is>
          <t>Simple</t>
        </is>
      </c>
      <c r="F243" s="25">
        <f>VLOOKUP(E243,Assumptions!$A$5:$B$8,2,0)</f>
        <v/>
      </c>
    </row>
    <row r="244">
      <c r="A244" t="inlineStr">
        <is>
          <t>HO</t>
        </is>
      </c>
      <c r="B244" t="inlineStr"/>
      <c r="C244" t="inlineStr">
        <is>
          <t>sys_AutoProcessConfig.aspx</t>
        </is>
      </c>
      <c r="D244" t="inlineStr">
        <is>
          <t>HO/sys_AutoProcessConfig.aspx</t>
        </is>
      </c>
      <c r="E244" t="inlineStr">
        <is>
          <t>Medium</t>
        </is>
      </c>
      <c r="F244" s="25">
        <f>VLOOKUP(E244,Assumptions!$A$5:$B$8,2,0)</f>
        <v/>
      </c>
    </row>
    <row r="245">
      <c r="A245" t="inlineStr">
        <is>
          <t>HO</t>
        </is>
      </c>
      <c r="B245" t="inlineStr"/>
      <c r="C245" t="inlineStr">
        <is>
          <t>x_GetGstData.aspx</t>
        </is>
      </c>
      <c r="D245" t="inlineStr">
        <is>
          <t>HO/x_GetGstData.aspx</t>
        </is>
      </c>
      <c r="E245" t="inlineStr">
        <is>
          <t>Medium</t>
        </is>
      </c>
      <c r="F245" s="25">
        <f>VLOOKUP(E245,Assumptions!$A$5:$B$8,2,0)</f>
        <v/>
      </c>
    </row>
    <row r="246">
      <c r="A246" t="inlineStr">
        <is>
          <t>HO</t>
        </is>
      </c>
      <c r="B246" t="inlineStr"/>
      <c r="C246" t="inlineStr">
        <is>
          <t>x_GstGLBalanceReport.aspx</t>
        </is>
      </c>
      <c r="D246" t="inlineStr">
        <is>
          <t>HO/x_GstGLBalanceReport.aspx</t>
        </is>
      </c>
      <c r="E246" t="inlineStr">
        <is>
          <t>Report</t>
        </is>
      </c>
      <c r="F246" s="25">
        <f>VLOOKUP(E246,Assumptions!$A$5:$B$8,2,0)</f>
        <v/>
      </c>
    </row>
    <row r="247">
      <c r="A247" t="inlineStr">
        <is>
          <t>HO</t>
        </is>
      </c>
      <c r="B247" t="inlineStr"/>
      <c r="C247" t="inlineStr">
        <is>
          <t>x_IncomeGSTTrans.aspx</t>
        </is>
      </c>
      <c r="D247" t="inlineStr">
        <is>
          <t>HO/x_IncomeGSTTrans.aspx</t>
        </is>
      </c>
      <c r="E247" t="inlineStr">
        <is>
          <t>Medium</t>
        </is>
      </c>
      <c r="F247" s="25">
        <f>VLOOKUP(E247,Assumptions!$A$5:$B$8,2,0)</f>
        <v/>
      </c>
    </row>
    <row r="248">
      <c r="A248" t="inlineStr">
        <is>
          <t>HO</t>
        </is>
      </c>
      <c r="B248" t="inlineStr"/>
      <c r="C248" t="inlineStr">
        <is>
          <t>x_IncomeGSTTransV1.aspx</t>
        </is>
      </c>
      <c r="D248" t="inlineStr">
        <is>
          <t>HO/x_IncomeGSTTransV1.aspx</t>
        </is>
      </c>
      <c r="E248" t="inlineStr">
        <is>
          <t>Medium</t>
        </is>
      </c>
      <c r="F248" s="25">
        <f>VLOOKUP(E248,Assumptions!$A$5:$B$8,2,0)</f>
        <v/>
      </c>
    </row>
    <row r="249">
      <c r="A249" t="inlineStr">
        <is>
          <t>Helpdesk</t>
        </is>
      </c>
      <c r="B249" t="inlineStr"/>
      <c r="C249" t="inlineStr">
        <is>
          <t>HD_TranLimitslab.aspx</t>
        </is>
      </c>
      <c r="D249" t="inlineStr">
        <is>
          <t>Helpdesk/HD_TranLimitslab.aspx</t>
        </is>
      </c>
      <c r="E249" t="inlineStr">
        <is>
          <t>Medium</t>
        </is>
      </c>
      <c r="F249" s="25">
        <f>VLOOKUP(E249,Assumptions!$A$5:$B$8,2,0)</f>
        <v/>
      </c>
    </row>
    <row r="250">
      <c r="A250" t="inlineStr">
        <is>
          <t>Helpdesk</t>
        </is>
      </c>
      <c r="B250" t="inlineStr"/>
      <c r="C250" t="inlineStr">
        <is>
          <t>HelpDeskPasswordPolicyConfig.aspx</t>
        </is>
      </c>
      <c r="D250" t="inlineStr">
        <is>
          <t>Helpdesk/HelpDeskPasswordPolicyConfig.aspx</t>
        </is>
      </c>
      <c r="E250" t="inlineStr">
        <is>
          <t>Medium</t>
        </is>
      </c>
      <c r="F250" s="25">
        <f>VLOOKUP(E250,Assumptions!$A$5:$B$8,2,0)</f>
        <v/>
      </c>
    </row>
    <row r="251">
      <c r="A251" t="inlineStr">
        <is>
          <t>Helpdesk</t>
        </is>
      </c>
      <c r="B251" t="inlineStr"/>
      <c r="C251" t="inlineStr">
        <is>
          <t>MapHelpDeskAccounts.aspx</t>
        </is>
      </c>
      <c r="D251" t="inlineStr">
        <is>
          <t>Helpdesk/MapHelpDeskAccounts.aspx</t>
        </is>
      </c>
      <c r="E251" t="inlineStr">
        <is>
          <t>Medium</t>
        </is>
      </c>
      <c r="F251" s="25">
        <f>VLOOKUP(E251,Assumptions!$A$5:$B$8,2,0)</f>
        <v/>
      </c>
    </row>
    <row r="252">
      <c r="A252" t="inlineStr">
        <is>
          <t>Helpdesk</t>
        </is>
      </c>
      <c r="B252" t="inlineStr"/>
      <c r="C252" t="inlineStr">
        <is>
          <t>MapHelpDeskAccountsV1.aspx</t>
        </is>
      </c>
      <c r="D252" t="inlineStr">
        <is>
          <t>Helpdesk/MapHelpDeskAccountsV1.aspx</t>
        </is>
      </c>
      <c r="E252" t="inlineStr">
        <is>
          <t>Medium</t>
        </is>
      </c>
      <c r="F252" s="25">
        <f>VLOOKUP(E252,Assumptions!$A$5:$B$8,2,0)</f>
        <v/>
      </c>
    </row>
    <row r="253">
      <c r="A253" t="inlineStr">
        <is>
          <t>Helpdesk</t>
        </is>
      </c>
      <c r="B253" t="inlineStr"/>
      <c r="C253" t="inlineStr">
        <is>
          <t>UserTrailLog.aspx</t>
        </is>
      </c>
      <c r="D253" t="inlineStr">
        <is>
          <t>Helpdesk/UserTrailLog.aspx</t>
        </is>
      </c>
      <c r="E253" t="inlineStr">
        <is>
          <t>Medium</t>
        </is>
      </c>
      <c r="F253" s="25">
        <f>VLOOKUP(E253,Assumptions!$A$5:$B$8,2,0)</f>
        <v/>
      </c>
    </row>
    <row r="254">
      <c r="A254" t="inlineStr">
        <is>
          <t>Helpdesk</t>
        </is>
      </c>
      <c r="B254" t="inlineStr"/>
      <c r="C254" t="inlineStr">
        <is>
          <t>hd_AllRequest.aspx</t>
        </is>
      </c>
      <c r="D254" t="inlineStr">
        <is>
          <t>Helpdesk/hd_AllRequest.aspx</t>
        </is>
      </c>
      <c r="E254" t="inlineStr">
        <is>
          <t>Medium</t>
        </is>
      </c>
      <c r="F254" s="25">
        <f>VLOOKUP(E254,Assumptions!$A$5:$B$8,2,0)</f>
        <v/>
      </c>
    </row>
    <row r="255">
      <c r="A255" t="inlineStr">
        <is>
          <t>Helpdesk</t>
        </is>
      </c>
      <c r="B255" t="inlineStr"/>
      <c r="C255" t="inlineStr">
        <is>
          <t>hd_AllRequestInfo.aspx</t>
        </is>
      </c>
      <c r="D255" t="inlineStr">
        <is>
          <t>Helpdesk/hd_AllRequestInfo.aspx</t>
        </is>
      </c>
      <c r="E255" t="inlineStr">
        <is>
          <t>Medium</t>
        </is>
      </c>
      <c r="F255" s="25">
        <f>VLOOKUP(E255,Assumptions!$A$5:$B$8,2,0)</f>
        <v/>
      </c>
    </row>
    <row r="256">
      <c r="A256" t="inlineStr">
        <is>
          <t>Helpdesk</t>
        </is>
      </c>
      <c r="B256" t="inlineStr"/>
      <c r="C256" t="inlineStr">
        <is>
          <t>hd_ApprovalAuthority.aspx</t>
        </is>
      </c>
      <c r="D256" t="inlineStr">
        <is>
          <t>Helpdesk/hd_ApprovalAuthority.aspx</t>
        </is>
      </c>
      <c r="E256" t="inlineStr">
        <is>
          <t>Medium</t>
        </is>
      </c>
      <c r="F256" s="25">
        <f>VLOOKUP(E256,Assumptions!$A$5:$B$8,2,0)</f>
        <v/>
      </c>
    </row>
    <row r="257">
      <c r="A257" t="inlineStr">
        <is>
          <t>Helpdesk</t>
        </is>
      </c>
      <c r="B257" t="inlineStr"/>
      <c r="C257" t="inlineStr">
        <is>
          <t>hd_DashBoard.aspx</t>
        </is>
      </c>
      <c r="D257" t="inlineStr">
        <is>
          <t>Helpdesk/hd_DashBoard.aspx</t>
        </is>
      </c>
      <c r="E257" t="inlineStr">
        <is>
          <t>Medium</t>
        </is>
      </c>
      <c r="F257" s="25">
        <f>VLOOKUP(E257,Assumptions!$A$5:$B$8,2,0)</f>
        <v/>
      </c>
    </row>
    <row r="258">
      <c r="A258" t="inlineStr">
        <is>
          <t>Helpdesk</t>
        </is>
      </c>
      <c r="B258" t="inlineStr"/>
      <c r="C258" t="inlineStr">
        <is>
          <t>hd_DashboardDetailPopup.aspx</t>
        </is>
      </c>
      <c r="D258" t="inlineStr">
        <is>
          <t>Helpdesk/hd_DashboardDetailPopup.aspx</t>
        </is>
      </c>
      <c r="E258" t="inlineStr">
        <is>
          <t>Medium</t>
        </is>
      </c>
      <c r="F258" s="25">
        <f>VLOOKUP(E258,Assumptions!$A$5:$B$8,2,0)</f>
        <v/>
      </c>
    </row>
    <row r="259">
      <c r="A259" t="inlineStr">
        <is>
          <t>Helpdesk</t>
        </is>
      </c>
      <c r="B259" t="inlineStr"/>
      <c r="C259" t="inlineStr">
        <is>
          <t>hd_DepositSchemeMap.aspx</t>
        </is>
      </c>
      <c r="D259" t="inlineStr">
        <is>
          <t>Helpdesk/hd_DepositSchemeMap.aspx</t>
        </is>
      </c>
      <c r="E259" t="inlineStr">
        <is>
          <t>Medium</t>
        </is>
      </c>
      <c r="F259" s="25">
        <f>VLOOKUP(E259,Assumptions!$A$5:$B$8,2,0)</f>
        <v/>
      </c>
    </row>
    <row r="260">
      <c r="A260" t="inlineStr">
        <is>
          <t>Helpdesk</t>
        </is>
      </c>
      <c r="B260" t="inlineStr"/>
      <c r="C260" t="inlineStr">
        <is>
          <t>hd_EmailConfig.aspx</t>
        </is>
      </c>
      <c r="D260" t="inlineStr">
        <is>
          <t>Helpdesk/hd_EmailConfig.aspx</t>
        </is>
      </c>
      <c r="E260" t="inlineStr">
        <is>
          <t>Medium</t>
        </is>
      </c>
      <c r="F260" s="25">
        <f>VLOOKUP(E260,Assumptions!$A$5:$B$8,2,0)</f>
        <v/>
      </c>
    </row>
    <row r="261">
      <c r="A261" t="inlineStr">
        <is>
          <t>Helpdesk</t>
        </is>
      </c>
      <c r="B261" t="inlineStr"/>
      <c r="C261" t="inlineStr">
        <is>
          <t>hd_ExcludeIBHead.aspx</t>
        </is>
      </c>
      <c r="D261" t="inlineStr">
        <is>
          <t>Helpdesk/hd_ExcludeIBHead.aspx</t>
        </is>
      </c>
      <c r="E261" t="inlineStr">
        <is>
          <t>Medium</t>
        </is>
      </c>
      <c r="F261" s="25">
        <f>VLOOKUP(E261,Assumptions!$A$5:$B$8,2,0)</f>
        <v/>
      </c>
    </row>
    <row r="262">
      <c r="A262" t="inlineStr">
        <is>
          <t>Helpdesk</t>
        </is>
      </c>
      <c r="B262" t="inlineStr"/>
      <c r="C262" t="inlineStr">
        <is>
          <t>hd_FeatureConfig.aspx</t>
        </is>
      </c>
      <c r="D262" t="inlineStr">
        <is>
          <t>Helpdesk/hd_FeatureConfig.aspx</t>
        </is>
      </c>
      <c r="E262" t="inlineStr">
        <is>
          <t>Medium</t>
        </is>
      </c>
      <c r="F262" s="25">
        <f>VLOOKUP(E262,Assumptions!$A$5:$B$8,2,0)</f>
        <v/>
      </c>
    </row>
    <row r="263">
      <c r="A263" t="inlineStr">
        <is>
          <t>Helpdesk</t>
        </is>
      </c>
      <c r="B263" t="inlineStr"/>
      <c r="C263" t="inlineStr">
        <is>
          <t>hd_InternetBankingReport.aspx</t>
        </is>
      </c>
      <c r="D263" t="inlineStr">
        <is>
          <t>Helpdesk/hd_InternetBankingReport.aspx</t>
        </is>
      </c>
      <c r="E263" t="inlineStr">
        <is>
          <t>Report</t>
        </is>
      </c>
      <c r="F263" s="25">
        <f>VLOOKUP(E263,Assumptions!$A$5:$B$8,2,0)</f>
        <v/>
      </c>
    </row>
    <row r="264">
      <c r="A264" t="inlineStr">
        <is>
          <t>Helpdesk</t>
        </is>
      </c>
      <c r="B264" t="inlineStr"/>
      <c r="C264" t="inlineStr">
        <is>
          <t>hd_LoginText.aspx</t>
        </is>
      </c>
      <c r="D264" t="inlineStr">
        <is>
          <t>Helpdesk/hd_LoginText.aspx</t>
        </is>
      </c>
      <c r="E264" t="inlineStr">
        <is>
          <t>Medium</t>
        </is>
      </c>
      <c r="F264" s="25">
        <f>VLOOKUP(E264,Assumptions!$A$5:$B$8,2,0)</f>
        <v/>
      </c>
    </row>
    <row r="265">
      <c r="A265" t="inlineStr">
        <is>
          <t>Helpdesk</t>
        </is>
      </c>
      <c r="B265" t="inlineStr"/>
      <c r="C265" t="inlineStr">
        <is>
          <t>hd_ResendMail.aspx</t>
        </is>
      </c>
      <c r="D265" t="inlineStr">
        <is>
          <t>Helpdesk/hd_ResendMail.aspx</t>
        </is>
      </c>
      <c r="E265" t="inlineStr">
        <is>
          <t>Medium</t>
        </is>
      </c>
      <c r="F265" s="25">
        <f>VLOOKUP(E265,Assumptions!$A$5:$B$8,2,0)</f>
        <v/>
      </c>
    </row>
    <row r="266">
      <c r="A266" t="inlineStr">
        <is>
          <t>Helpdesk</t>
        </is>
      </c>
      <c r="B266" t="inlineStr"/>
      <c r="C266" t="inlineStr">
        <is>
          <t>hd_ResendMailV1.aspx</t>
        </is>
      </c>
      <c r="D266" t="inlineStr">
        <is>
          <t>Helpdesk/hd_ResendMailV1.aspx</t>
        </is>
      </c>
      <c r="E266" t="inlineStr">
        <is>
          <t>Medium</t>
        </is>
      </c>
      <c r="F266" s="25">
        <f>VLOOKUP(E266,Assumptions!$A$5:$B$8,2,0)</f>
        <v/>
      </c>
    </row>
    <row r="267">
      <c r="A267" t="inlineStr">
        <is>
          <t>Helpdesk</t>
        </is>
      </c>
      <c r="B267" t="inlineStr"/>
      <c r="C267" t="inlineStr">
        <is>
          <t>hd_ServiceStatus.aspx</t>
        </is>
      </c>
      <c r="D267" t="inlineStr">
        <is>
          <t>Helpdesk/hd_ServiceStatus.aspx</t>
        </is>
      </c>
      <c r="E267" t="inlineStr">
        <is>
          <t>Medium</t>
        </is>
      </c>
      <c r="F267" s="25">
        <f>VLOOKUP(E267,Assumptions!$A$5:$B$8,2,0)</f>
        <v/>
      </c>
    </row>
    <row r="268">
      <c r="A268" t="inlineStr">
        <is>
          <t>Helpdesk</t>
        </is>
      </c>
      <c r="B268" t="inlineStr"/>
      <c r="C268" t="inlineStr">
        <is>
          <t>hd_TransactionReport.aspx</t>
        </is>
      </c>
      <c r="D268" t="inlineStr">
        <is>
          <t>Helpdesk/hd_TransactionReport.aspx</t>
        </is>
      </c>
      <c r="E268" t="inlineStr">
        <is>
          <t>Report</t>
        </is>
      </c>
      <c r="F268" s="25">
        <f>VLOOKUP(E268,Assumptions!$A$5:$B$8,2,0)</f>
        <v/>
      </c>
    </row>
    <row r="269">
      <c r="A269" t="inlineStr">
        <is>
          <t>Helpdesk</t>
        </is>
      </c>
      <c r="B269" t="inlineStr"/>
      <c r="C269" t="inlineStr">
        <is>
          <t>hd_UserRelease.aspx</t>
        </is>
      </c>
      <c r="D269" t="inlineStr">
        <is>
          <t>Helpdesk/hd_UserRelease.aspx</t>
        </is>
      </c>
      <c r="E269" t="inlineStr">
        <is>
          <t>Medium</t>
        </is>
      </c>
      <c r="F269" s="25">
        <f>VLOOKUP(E269,Assumptions!$A$5:$B$8,2,0)</f>
        <v/>
      </c>
    </row>
    <row r="270">
      <c r="A270" t="inlineStr">
        <is>
          <t>Hr</t>
        </is>
      </c>
      <c r="B270" t="inlineStr"/>
      <c r="C270" t="inlineStr">
        <is>
          <t>g_Bank.aspx</t>
        </is>
      </c>
      <c r="D270" t="inlineStr">
        <is>
          <t>Hr/g_Bank.aspx</t>
        </is>
      </c>
      <c r="E270" t="inlineStr">
        <is>
          <t>Simple</t>
        </is>
      </c>
      <c r="F270" s="25">
        <f>VLOOKUP(E270,Assumptions!$A$5:$B$8,2,0)</f>
        <v/>
      </c>
    </row>
    <row r="271">
      <c r="A271" t="inlineStr">
        <is>
          <t>Hr</t>
        </is>
      </c>
      <c r="B271" t="inlineStr"/>
      <c r="C271" t="inlineStr">
        <is>
          <t>g_Language.aspx</t>
        </is>
      </c>
      <c r="D271" t="inlineStr">
        <is>
          <t>Hr/g_Language.aspx</t>
        </is>
      </c>
      <c r="E271" t="inlineStr">
        <is>
          <t>Simple</t>
        </is>
      </c>
      <c r="F271" s="25">
        <f>VLOOKUP(E271,Assumptions!$A$5:$B$8,2,0)</f>
        <v/>
      </c>
    </row>
    <row r="272">
      <c r="A272" t="inlineStr">
        <is>
          <t>Hr</t>
        </is>
      </c>
      <c r="B272" t="inlineStr"/>
      <c r="C272" t="inlineStr">
        <is>
          <t>h_CourseHistory.aspx</t>
        </is>
      </c>
      <c r="D272" t="inlineStr">
        <is>
          <t>Hr/h_CourseHistory.aspx</t>
        </is>
      </c>
      <c r="E272" t="inlineStr">
        <is>
          <t>Medium</t>
        </is>
      </c>
      <c r="F272" s="25">
        <f>VLOOKUP(E272,Assumptions!$A$5:$B$8,2,0)</f>
        <v/>
      </c>
    </row>
    <row r="273">
      <c r="A273" t="inlineStr">
        <is>
          <t>Hr</t>
        </is>
      </c>
      <c r="B273" t="inlineStr"/>
      <c r="C273" t="inlineStr">
        <is>
          <t>h_DiscipAction.aspx</t>
        </is>
      </c>
      <c r="D273" t="inlineStr">
        <is>
          <t>Hr/h_DiscipAction.aspx</t>
        </is>
      </c>
      <c r="E273" t="inlineStr">
        <is>
          <t>Medium</t>
        </is>
      </c>
      <c r="F273" s="25">
        <f>VLOOKUP(E273,Assumptions!$A$5:$B$8,2,0)</f>
        <v/>
      </c>
    </row>
    <row r="274">
      <c r="A274" t="inlineStr">
        <is>
          <t>Hr</t>
        </is>
      </c>
      <c r="B274" t="inlineStr"/>
      <c r="C274" t="inlineStr">
        <is>
          <t>h_DiscipActionHistory.aspx</t>
        </is>
      </c>
      <c r="D274" t="inlineStr">
        <is>
          <t>Hr/h_DiscipActionHistory.aspx</t>
        </is>
      </c>
      <c r="E274" t="inlineStr">
        <is>
          <t>Medium</t>
        </is>
      </c>
      <c r="F274" s="25">
        <f>VLOOKUP(E274,Assumptions!$A$5:$B$8,2,0)</f>
        <v/>
      </c>
    </row>
    <row r="275">
      <c r="A275" t="inlineStr">
        <is>
          <t>Hr</t>
        </is>
      </c>
      <c r="B275" t="inlineStr"/>
      <c r="C275" t="inlineStr">
        <is>
          <t>h_EmployeeDataCard.aspx</t>
        </is>
      </c>
      <c r="D275" t="inlineStr">
        <is>
          <t>Hr/h_EmployeeDataCard.aspx</t>
        </is>
      </c>
      <c r="E275" t="inlineStr">
        <is>
          <t>Medium</t>
        </is>
      </c>
      <c r="F275" s="25">
        <f>VLOOKUP(E275,Assumptions!$A$5:$B$8,2,0)</f>
        <v/>
      </c>
    </row>
    <row r="276">
      <c r="A276" t="inlineStr">
        <is>
          <t>Hr</t>
        </is>
      </c>
      <c r="B276" t="inlineStr"/>
      <c r="C276" t="inlineStr">
        <is>
          <t>h_EmployeeDataCardDetails.aspx</t>
        </is>
      </c>
      <c r="D276" t="inlineStr">
        <is>
          <t>Hr/h_EmployeeDataCardDetails.aspx</t>
        </is>
      </c>
      <c r="E276" t="inlineStr">
        <is>
          <t>Medium</t>
        </is>
      </c>
      <c r="F276" s="25">
        <f>VLOOKUP(E276,Assumptions!$A$5:$B$8,2,0)</f>
        <v/>
      </c>
    </row>
    <row r="277">
      <c r="A277" t="inlineStr">
        <is>
          <t>Hr</t>
        </is>
      </c>
      <c r="B277" t="inlineStr"/>
      <c r="C277" t="inlineStr">
        <is>
          <t>h_ExprHistory.aspx</t>
        </is>
      </c>
      <c r="D277" t="inlineStr">
        <is>
          <t>Hr/h_ExprHistory.aspx</t>
        </is>
      </c>
      <c r="E277" t="inlineStr">
        <is>
          <t>Medium</t>
        </is>
      </c>
      <c r="F277" s="25">
        <f>VLOOKUP(E277,Assumptions!$A$5:$B$8,2,0)</f>
        <v/>
      </c>
    </row>
    <row r="278">
      <c r="A278" t="inlineStr">
        <is>
          <t>Hr</t>
        </is>
      </c>
      <c r="B278" t="inlineStr"/>
      <c r="C278" t="inlineStr">
        <is>
          <t>h_HonAward.aspx</t>
        </is>
      </c>
      <c r="D278" t="inlineStr">
        <is>
          <t>Hr/h_HonAward.aspx</t>
        </is>
      </c>
      <c r="E278" t="inlineStr">
        <is>
          <t>Medium</t>
        </is>
      </c>
      <c r="F278" s="25">
        <f>VLOOKUP(E278,Assumptions!$A$5:$B$8,2,0)</f>
        <v/>
      </c>
    </row>
    <row r="279">
      <c r="A279" t="inlineStr">
        <is>
          <t>Hr</t>
        </is>
      </c>
      <c r="B279" t="inlineStr"/>
      <c r="C279" t="inlineStr">
        <is>
          <t>h_HonAwardHistory.aspx</t>
        </is>
      </c>
      <c r="D279" t="inlineStr">
        <is>
          <t>Hr/h_HonAwardHistory.aspx</t>
        </is>
      </c>
      <c r="E279" t="inlineStr">
        <is>
          <t>Medium</t>
        </is>
      </c>
      <c r="F279" s="25">
        <f>VLOOKUP(E279,Assumptions!$A$5:$B$8,2,0)</f>
        <v/>
      </c>
    </row>
    <row r="280">
      <c r="A280" t="inlineStr">
        <is>
          <t>Hr</t>
        </is>
      </c>
      <c r="B280" t="inlineStr"/>
      <c r="C280" t="inlineStr">
        <is>
          <t>h_LeaveApplication.aspx</t>
        </is>
      </c>
      <c r="D280" t="inlineStr">
        <is>
          <t>Hr/h_LeaveApplication.aspx</t>
        </is>
      </c>
      <c r="E280" t="inlineStr">
        <is>
          <t>Medium</t>
        </is>
      </c>
      <c r="F280" s="25">
        <f>VLOOKUP(E280,Assumptions!$A$5:$B$8,2,0)</f>
        <v/>
      </c>
    </row>
    <row r="281">
      <c r="A281" t="inlineStr">
        <is>
          <t>Hr</t>
        </is>
      </c>
      <c r="B281" t="inlineStr"/>
      <c r="C281" t="inlineStr">
        <is>
          <t>h_LeaveApproval.aspx</t>
        </is>
      </c>
      <c r="D281" t="inlineStr">
        <is>
          <t>Hr/h_LeaveApproval.aspx</t>
        </is>
      </c>
      <c r="E281" t="inlineStr">
        <is>
          <t>Medium</t>
        </is>
      </c>
      <c r="F281" s="25">
        <f>VLOOKUP(E281,Assumptions!$A$5:$B$8,2,0)</f>
        <v/>
      </c>
    </row>
    <row r="282">
      <c r="A282" t="inlineStr">
        <is>
          <t>Hr</t>
        </is>
      </c>
      <c r="B282" t="inlineStr"/>
      <c r="C282" t="inlineStr">
        <is>
          <t>h_LeaveCancellation.aspx</t>
        </is>
      </c>
      <c r="D282" t="inlineStr">
        <is>
          <t>Hr/h_LeaveCancellation.aspx</t>
        </is>
      </c>
      <c r="E282" t="inlineStr">
        <is>
          <t>Medium</t>
        </is>
      </c>
      <c r="F282" s="25">
        <f>VLOOKUP(E282,Assumptions!$A$5:$B$8,2,0)</f>
        <v/>
      </c>
    </row>
    <row r="283">
      <c r="A283" t="inlineStr">
        <is>
          <t>Hr</t>
        </is>
      </c>
      <c r="B283" t="inlineStr"/>
      <c r="C283" t="inlineStr">
        <is>
          <t>h_LeaveType.aspx</t>
        </is>
      </c>
      <c r="D283" t="inlineStr">
        <is>
          <t>Hr/h_LeaveType.aspx</t>
        </is>
      </c>
      <c r="E283" t="inlineStr">
        <is>
          <t>Medium</t>
        </is>
      </c>
      <c r="F283" s="25">
        <f>VLOOKUP(E283,Assumptions!$A$5:$B$8,2,0)</f>
        <v/>
      </c>
    </row>
    <row r="284">
      <c r="A284" t="inlineStr">
        <is>
          <t>Hr</t>
        </is>
      </c>
      <c r="B284" t="inlineStr"/>
      <c r="C284" t="inlineStr">
        <is>
          <t>h_PromHistory.aspx</t>
        </is>
      </c>
      <c r="D284" t="inlineStr">
        <is>
          <t>Hr/h_PromHistory.aspx</t>
        </is>
      </c>
      <c r="E284" t="inlineStr">
        <is>
          <t>Medium</t>
        </is>
      </c>
      <c r="F284" s="25">
        <f>VLOOKUP(E284,Assumptions!$A$5:$B$8,2,0)</f>
        <v/>
      </c>
    </row>
    <row r="285">
      <c r="A285" t="inlineStr">
        <is>
          <t>Hr</t>
        </is>
      </c>
      <c r="B285" t="inlineStr"/>
      <c r="C285" t="inlineStr">
        <is>
          <t>h_Promotion.aspx</t>
        </is>
      </c>
      <c r="D285" t="inlineStr">
        <is>
          <t>Hr/h_Promotion.aspx</t>
        </is>
      </c>
      <c r="E285" t="inlineStr">
        <is>
          <t>Medium</t>
        </is>
      </c>
      <c r="F285" s="25">
        <f>VLOOKUP(E285,Assumptions!$A$5:$B$8,2,0)</f>
        <v/>
      </c>
    </row>
    <row r="286">
      <c r="A286" t="inlineStr">
        <is>
          <t>Hr</t>
        </is>
      </c>
      <c r="B286" t="inlineStr"/>
      <c r="C286" t="inlineStr">
        <is>
          <t>h_Qualification.aspx</t>
        </is>
      </c>
      <c r="D286" t="inlineStr">
        <is>
          <t>Hr/h_Qualification.aspx</t>
        </is>
      </c>
      <c r="E286" t="inlineStr">
        <is>
          <t>Medium</t>
        </is>
      </c>
      <c r="F286" s="25">
        <f>VLOOKUP(E286,Assumptions!$A$5:$B$8,2,0)</f>
        <v/>
      </c>
    </row>
    <row r="287">
      <c r="A287" t="inlineStr">
        <is>
          <t>Hr</t>
        </is>
      </c>
      <c r="B287" t="inlineStr"/>
      <c r="C287" t="inlineStr">
        <is>
          <t>h_QualificationHistory.aspx</t>
        </is>
      </c>
      <c r="D287" t="inlineStr">
        <is>
          <t>Hr/h_QualificationHistory.aspx</t>
        </is>
      </c>
      <c r="E287" t="inlineStr">
        <is>
          <t>Medium</t>
        </is>
      </c>
      <c r="F287" s="25">
        <f>VLOOKUP(E287,Assumptions!$A$5:$B$8,2,0)</f>
        <v/>
      </c>
    </row>
    <row r="288">
      <c r="A288" t="inlineStr">
        <is>
          <t>Hr</t>
        </is>
      </c>
      <c r="B288" t="inlineStr"/>
      <c r="C288" t="inlineStr">
        <is>
          <t>h_Transfer.aspx</t>
        </is>
      </c>
      <c r="D288" t="inlineStr">
        <is>
          <t>Hr/h_Transfer.aspx</t>
        </is>
      </c>
      <c r="E288" t="inlineStr">
        <is>
          <t>Medium</t>
        </is>
      </c>
      <c r="F288" s="25">
        <f>VLOOKUP(E288,Assumptions!$A$5:$B$8,2,0)</f>
        <v/>
      </c>
    </row>
    <row r="289">
      <c r="A289" t="inlineStr">
        <is>
          <t>Hr</t>
        </is>
      </c>
      <c r="B289" t="inlineStr"/>
      <c r="C289" t="inlineStr">
        <is>
          <t>h_TransferHistory.aspx</t>
        </is>
      </c>
      <c r="D289" t="inlineStr">
        <is>
          <t>Hr/h_TransferHistory.aspx</t>
        </is>
      </c>
      <c r="E289" t="inlineStr">
        <is>
          <t>Medium</t>
        </is>
      </c>
      <c r="F289" s="25">
        <f>VLOOKUP(E289,Assumptions!$A$5:$B$8,2,0)</f>
        <v/>
      </c>
    </row>
    <row r="290">
      <c r="A290" t="inlineStr">
        <is>
          <t>Hr</t>
        </is>
      </c>
      <c r="B290" t="inlineStr"/>
      <c r="C290" t="inlineStr">
        <is>
          <t>h_TransferV1.aspx</t>
        </is>
      </c>
      <c r="D290" t="inlineStr">
        <is>
          <t>Hr/h_TransferV1.aspx</t>
        </is>
      </c>
      <c r="E290" t="inlineStr">
        <is>
          <t>Medium</t>
        </is>
      </c>
      <c r="F290" s="25">
        <f>VLOOKUP(E290,Assumptions!$A$5:$B$8,2,0)</f>
        <v/>
      </c>
    </row>
    <row r="291">
      <c r="A291" t="inlineStr">
        <is>
          <t>(root)</t>
        </is>
      </c>
      <c r="B291" t="inlineStr"/>
      <c r="C291" t="inlineStr">
        <is>
          <t>InitSession.aspx</t>
        </is>
      </c>
      <c r="D291" t="inlineStr">
        <is>
          <t>InitSession.aspx</t>
        </is>
      </c>
      <c r="E291" t="inlineStr">
        <is>
          <t>Simple</t>
        </is>
      </c>
      <c r="F291" s="25">
        <f>VLOOKUP(E291,Assumptions!$A$5:$B$8,2,0)</f>
        <v/>
      </c>
    </row>
    <row r="292">
      <c r="A292" t="inlineStr">
        <is>
          <t>Inventory</t>
        </is>
      </c>
      <c r="B292" t="inlineStr"/>
      <c r="C292" t="inlineStr">
        <is>
          <t>i_AssetSale.aspx</t>
        </is>
      </c>
      <c r="D292" t="inlineStr">
        <is>
          <t>Inventory/i_AssetSale.aspx</t>
        </is>
      </c>
      <c r="E292" t="inlineStr">
        <is>
          <t>Medium</t>
        </is>
      </c>
      <c r="F292" s="25">
        <f>VLOOKUP(E292,Assumptions!$A$5:$B$8,2,0)</f>
        <v/>
      </c>
    </row>
    <row r="293">
      <c r="A293" t="inlineStr">
        <is>
          <t>Inventory</t>
        </is>
      </c>
      <c r="B293" t="inlineStr"/>
      <c r="C293" t="inlineStr">
        <is>
          <t>i_AssetScrap.aspx</t>
        </is>
      </c>
      <c r="D293" t="inlineStr">
        <is>
          <t>Inventory/i_AssetScrap.aspx</t>
        </is>
      </c>
      <c r="E293" t="inlineStr">
        <is>
          <t>Medium</t>
        </is>
      </c>
      <c r="F293" s="25">
        <f>VLOOKUP(E293,Assumptions!$A$5:$B$8,2,0)</f>
        <v/>
      </c>
    </row>
    <row r="294">
      <c r="A294" t="inlineStr">
        <is>
          <t>Inventory</t>
        </is>
      </c>
      <c r="B294" t="inlineStr"/>
      <c r="C294" t="inlineStr">
        <is>
          <t>i_BrInvRegister.aspx</t>
        </is>
      </c>
      <c r="D294" t="inlineStr">
        <is>
          <t>Inventory/i_BrInvRegister.aspx</t>
        </is>
      </c>
      <c r="E294" t="inlineStr">
        <is>
          <t>Medium</t>
        </is>
      </c>
      <c r="F294" s="25">
        <f>VLOOKUP(E294,Assumptions!$A$5:$B$8,2,0)</f>
        <v/>
      </c>
    </row>
    <row r="295">
      <c r="A295" t="inlineStr">
        <is>
          <t>Inventory</t>
        </is>
      </c>
      <c r="B295" t="inlineStr"/>
      <c r="C295" t="inlineStr">
        <is>
          <t>i_BrInvRegisterPop.aspx</t>
        </is>
      </c>
      <c r="D295" t="inlineStr">
        <is>
          <t>Inventory/i_BrInvRegisterPop.aspx</t>
        </is>
      </c>
      <c r="E295" t="inlineStr">
        <is>
          <t>Medium</t>
        </is>
      </c>
      <c r="F295" s="25">
        <f>VLOOKUP(E295,Assumptions!$A$5:$B$8,2,0)</f>
        <v/>
      </c>
    </row>
    <row r="296">
      <c r="A296" t="inlineStr">
        <is>
          <t>Inventory</t>
        </is>
      </c>
      <c r="B296" t="inlineStr"/>
      <c r="C296" t="inlineStr">
        <is>
          <t>i_ConsumableDisposal.aspx</t>
        </is>
      </c>
      <c r="D296" t="inlineStr">
        <is>
          <t>Inventory/i_ConsumableDisposal.aspx</t>
        </is>
      </c>
      <c r="E296" t="inlineStr">
        <is>
          <t>Medium</t>
        </is>
      </c>
      <c r="F296" s="25">
        <f>VLOOKUP(E296,Assumptions!$A$5:$B$8,2,0)</f>
        <v/>
      </c>
    </row>
    <row r="297">
      <c r="A297" t="inlineStr">
        <is>
          <t>Inventory</t>
        </is>
      </c>
      <c r="B297" t="inlineStr"/>
      <c r="C297" t="inlineStr">
        <is>
          <t>i_Depriciation.aspx</t>
        </is>
      </c>
      <c r="D297" t="inlineStr">
        <is>
          <t>Inventory/i_Depriciation.aspx</t>
        </is>
      </c>
      <c r="E297" t="inlineStr">
        <is>
          <t>Medium</t>
        </is>
      </c>
      <c r="F297" s="25">
        <f>VLOOKUP(E297,Assumptions!$A$5:$B$8,2,0)</f>
        <v/>
      </c>
    </row>
    <row r="298">
      <c r="A298" t="inlineStr">
        <is>
          <t>Inventory</t>
        </is>
      </c>
      <c r="B298" t="inlineStr"/>
      <c r="C298" t="inlineStr">
        <is>
          <t>i_DepriciationCalculation.aspx</t>
        </is>
      </c>
      <c r="D298" t="inlineStr">
        <is>
          <t>Inventory/i_DepriciationCalculation.aspx</t>
        </is>
      </c>
      <c r="E298" t="inlineStr">
        <is>
          <t>Medium</t>
        </is>
      </c>
      <c r="F298" s="25">
        <f>VLOOKUP(E298,Assumptions!$A$5:$B$8,2,0)</f>
        <v/>
      </c>
    </row>
    <row r="299">
      <c r="A299" t="inlineStr">
        <is>
          <t>Inventory</t>
        </is>
      </c>
      <c r="B299" t="inlineStr"/>
      <c r="C299" t="inlineStr">
        <is>
          <t>i_EstimateReport.aspx</t>
        </is>
      </c>
      <c r="D299" t="inlineStr">
        <is>
          <t>Inventory/i_EstimateReport.aspx</t>
        </is>
      </c>
      <c r="E299" t="inlineStr">
        <is>
          <t>Report</t>
        </is>
      </c>
      <c r="F299" s="25">
        <f>VLOOKUP(E299,Assumptions!$A$5:$B$8,2,0)</f>
        <v/>
      </c>
    </row>
    <row r="300">
      <c r="A300" t="inlineStr">
        <is>
          <t>Inventory</t>
        </is>
      </c>
      <c r="B300" t="inlineStr"/>
      <c r="C300" t="inlineStr">
        <is>
          <t>i_HSNCode.aspx</t>
        </is>
      </c>
      <c r="D300" t="inlineStr">
        <is>
          <t>Inventory/i_HSNCode.aspx</t>
        </is>
      </c>
      <c r="E300" t="inlineStr">
        <is>
          <t>Medium</t>
        </is>
      </c>
      <c r="F300" s="25">
        <f>VLOOKUP(E300,Assumptions!$A$5:$B$8,2,0)</f>
        <v/>
      </c>
    </row>
    <row r="301">
      <c r="A301" t="inlineStr">
        <is>
          <t>Inventory</t>
        </is>
      </c>
      <c r="B301" t="inlineStr"/>
      <c r="C301" t="inlineStr">
        <is>
          <t>i_InvAllocation.aspx</t>
        </is>
      </c>
      <c r="D301" t="inlineStr">
        <is>
          <t>Inventory/i_InvAllocation.aspx</t>
        </is>
      </c>
      <c r="E301" t="inlineStr">
        <is>
          <t>Medium</t>
        </is>
      </c>
      <c r="F301" s="25">
        <f>VLOOKUP(E301,Assumptions!$A$5:$B$8,2,0)</f>
        <v/>
      </c>
    </row>
    <row r="302">
      <c r="A302" t="inlineStr">
        <is>
          <t>Inventory</t>
        </is>
      </c>
      <c r="B302" t="inlineStr"/>
      <c r="C302" t="inlineStr">
        <is>
          <t>i_InvRequest.aspx</t>
        </is>
      </c>
      <c r="D302" t="inlineStr">
        <is>
          <t>Inventory/i_InvRequest.aspx</t>
        </is>
      </c>
      <c r="E302" t="inlineStr">
        <is>
          <t>Medium</t>
        </is>
      </c>
      <c r="F302" s="25">
        <f>VLOOKUP(E302,Assumptions!$A$5:$B$8,2,0)</f>
        <v/>
      </c>
    </row>
    <row r="303">
      <c r="A303" t="inlineStr">
        <is>
          <t>Inventory</t>
        </is>
      </c>
      <c r="B303" t="inlineStr"/>
      <c r="C303" t="inlineStr">
        <is>
          <t>i_InventoryRegister.aspx</t>
        </is>
      </c>
      <c r="D303" t="inlineStr">
        <is>
          <t>Inventory/i_InventoryRegister.aspx</t>
        </is>
      </c>
      <c r="E303" t="inlineStr">
        <is>
          <t>Medium</t>
        </is>
      </c>
      <c r="F303" s="25">
        <f>VLOOKUP(E303,Assumptions!$A$5:$B$8,2,0)</f>
        <v/>
      </c>
    </row>
    <row r="304">
      <c r="A304" t="inlineStr">
        <is>
          <t>Inventory</t>
        </is>
      </c>
      <c r="B304" t="inlineStr"/>
      <c r="C304" t="inlineStr">
        <is>
          <t>i_Item.aspx</t>
        </is>
      </c>
      <c r="D304" t="inlineStr">
        <is>
          <t>Inventory/i_Item.aspx</t>
        </is>
      </c>
      <c r="E304" t="inlineStr">
        <is>
          <t>Medium</t>
        </is>
      </c>
      <c r="F304" s="25">
        <f>VLOOKUP(E304,Assumptions!$A$5:$B$8,2,0)</f>
        <v/>
      </c>
    </row>
    <row r="305">
      <c r="A305" t="inlineStr">
        <is>
          <t>Inventory</t>
        </is>
      </c>
      <c r="B305" t="inlineStr"/>
      <c r="C305" t="inlineStr">
        <is>
          <t>i_ItemDetailsPopup.aspx</t>
        </is>
      </c>
      <c r="D305" t="inlineStr">
        <is>
          <t>Inventory/i_ItemDetailsPopup.aspx</t>
        </is>
      </c>
      <c r="E305" t="inlineStr">
        <is>
          <t>Medium</t>
        </is>
      </c>
      <c r="F305" s="25">
        <f>VLOOKUP(E305,Assumptions!$A$5:$B$8,2,0)</f>
        <v/>
      </c>
    </row>
    <row r="306">
      <c r="A306" t="inlineStr">
        <is>
          <t>Inventory</t>
        </is>
      </c>
      <c r="B306" t="inlineStr"/>
      <c r="C306" t="inlineStr">
        <is>
          <t>i_ItemPurchase.aspx</t>
        </is>
      </c>
      <c r="D306" t="inlineStr">
        <is>
          <t>Inventory/i_ItemPurchase.aspx</t>
        </is>
      </c>
      <c r="E306" t="inlineStr">
        <is>
          <t>Medium</t>
        </is>
      </c>
      <c r="F306" s="25">
        <f>VLOOKUP(E306,Assumptions!$A$5:$B$8,2,0)</f>
        <v/>
      </c>
    </row>
    <row r="307">
      <c r="A307" t="inlineStr">
        <is>
          <t>Inventory</t>
        </is>
      </c>
      <c r="B307" t="inlineStr"/>
      <c r="C307" t="inlineStr">
        <is>
          <t>i_OPeningBalance.aspx</t>
        </is>
      </c>
      <c r="D307" t="inlineStr">
        <is>
          <t>Inventory/i_OPeningBalance.aspx</t>
        </is>
      </c>
      <c r="E307" t="inlineStr">
        <is>
          <t>Medium</t>
        </is>
      </c>
      <c r="F307" s="25">
        <f>VLOOKUP(E307,Assumptions!$A$5:$B$8,2,0)</f>
        <v/>
      </c>
    </row>
    <row r="308">
      <c r="A308" t="inlineStr">
        <is>
          <t>Inventory</t>
        </is>
      </c>
      <c r="B308" t="inlineStr"/>
      <c r="C308" t="inlineStr">
        <is>
          <t>i_Supplier.aspx</t>
        </is>
      </c>
      <c r="D308" t="inlineStr">
        <is>
          <t>Inventory/i_Supplier.aspx</t>
        </is>
      </c>
      <c r="E308" t="inlineStr">
        <is>
          <t>Medium</t>
        </is>
      </c>
      <c r="F308" s="25">
        <f>VLOOKUP(E308,Assumptions!$A$5:$B$8,2,0)</f>
        <v/>
      </c>
    </row>
    <row r="309">
      <c r="A309" t="inlineStr">
        <is>
          <t>Inventory</t>
        </is>
      </c>
      <c r="B309" t="inlineStr"/>
      <c r="C309" t="inlineStr">
        <is>
          <t>i_SupplierPayment.aspx</t>
        </is>
      </c>
      <c r="D309" t="inlineStr">
        <is>
          <t>Inventory/i_SupplierPayment.aspx</t>
        </is>
      </c>
      <c r="E309" t="inlineStr">
        <is>
          <t>Medium</t>
        </is>
      </c>
      <c r="F309" s="25">
        <f>VLOOKUP(E309,Assumptions!$A$5:$B$8,2,0)</f>
        <v/>
      </c>
    </row>
    <row r="310">
      <c r="A310" t="inlineStr">
        <is>
          <t>Inventory</t>
        </is>
      </c>
      <c r="B310" t="inlineStr"/>
      <c r="C310" t="inlineStr">
        <is>
          <t>i_SupplierPaymentPopup.aspx</t>
        </is>
      </c>
      <c r="D310" t="inlineStr">
        <is>
          <t>Inventory/i_SupplierPaymentPopup.aspx</t>
        </is>
      </c>
      <c r="E310" t="inlineStr">
        <is>
          <t>Medium</t>
        </is>
      </c>
      <c r="F310" s="25">
        <f>VLOOKUP(E310,Assumptions!$A$5:$B$8,2,0)</f>
        <v/>
      </c>
    </row>
    <row r="311">
      <c r="A311" t="inlineStr">
        <is>
          <t>Inventory</t>
        </is>
      </c>
      <c r="B311" t="inlineStr"/>
      <c r="C311" t="inlineStr">
        <is>
          <t>i_SupplierPaymentReport.aspx</t>
        </is>
      </c>
      <c r="D311" t="inlineStr">
        <is>
          <t>Inventory/i_SupplierPaymentReport.aspx</t>
        </is>
      </c>
      <c r="E311" t="inlineStr">
        <is>
          <t>Report</t>
        </is>
      </c>
      <c r="F311" s="25">
        <f>VLOOKUP(E311,Assumptions!$A$5:$B$8,2,0)</f>
        <v/>
      </c>
    </row>
    <row r="312">
      <c r="A312" t="inlineStr">
        <is>
          <t>Inventory</t>
        </is>
      </c>
      <c r="B312" t="inlineStr"/>
      <c r="C312" t="inlineStr">
        <is>
          <t>i_UnitOfMeasurement.aspx</t>
        </is>
      </c>
      <c r="D312" t="inlineStr">
        <is>
          <t>Inventory/i_UnitOfMeasurement.aspx</t>
        </is>
      </c>
      <c r="E312" t="inlineStr">
        <is>
          <t>Medium</t>
        </is>
      </c>
      <c r="F312" s="25">
        <f>VLOOKUP(E312,Assumptions!$A$5:$B$8,2,0)</f>
        <v/>
      </c>
    </row>
    <row r="313">
      <c r="A313" t="inlineStr">
        <is>
          <t>Inventory</t>
        </is>
      </c>
      <c r="B313" t="inlineStr"/>
      <c r="C313" t="inlineStr">
        <is>
          <t>i_masterReport.aspx</t>
        </is>
      </c>
      <c r="D313" t="inlineStr">
        <is>
          <t>Inventory/i_masterReport.aspx</t>
        </is>
      </c>
      <c r="E313" t="inlineStr">
        <is>
          <t>Report</t>
        </is>
      </c>
      <c r="F313" s="25">
        <f>VLOOKUP(E313,Assumptions!$A$5:$B$8,2,0)</f>
        <v/>
      </c>
    </row>
    <row r="314">
      <c r="A314" t="inlineStr">
        <is>
          <t>Inventory</t>
        </is>
      </c>
      <c r="B314" t="inlineStr"/>
      <c r="C314" t="inlineStr">
        <is>
          <t>i_transactionReport.aspx</t>
        </is>
      </c>
      <c r="D314" t="inlineStr">
        <is>
          <t>Inventory/i_transactionReport.aspx</t>
        </is>
      </c>
      <c r="E314" t="inlineStr">
        <is>
          <t>Report</t>
        </is>
      </c>
      <c r="F314" s="25">
        <f>VLOOKUP(E314,Assumptions!$A$5:$B$8,2,0)</f>
        <v/>
      </c>
    </row>
    <row r="315">
      <c r="A315" t="inlineStr">
        <is>
          <t>(root)</t>
        </is>
      </c>
      <c r="B315" t="inlineStr"/>
      <c r="C315" t="inlineStr">
        <is>
          <t>KeyHelp.aspx</t>
        </is>
      </c>
      <c r="D315" t="inlineStr">
        <is>
          <t>KeyHelp.aspx</t>
        </is>
      </c>
      <c r="E315" t="inlineStr">
        <is>
          <t>Simple</t>
        </is>
      </c>
      <c r="F315" s="25">
        <f>VLOOKUP(E315,Assumptions!$A$5:$B$8,2,0)</f>
        <v/>
      </c>
    </row>
    <row r="316">
      <c r="A316" t="inlineStr">
        <is>
          <t>Lockers</t>
        </is>
      </c>
      <c r="B316" t="inlineStr"/>
      <c r="C316" t="inlineStr">
        <is>
          <t>K_LockerAccChange.aspx</t>
        </is>
      </c>
      <c r="D316" t="inlineStr">
        <is>
          <t>Lockers/K_LockerAccChange.aspx</t>
        </is>
      </c>
      <c r="E316" t="inlineStr">
        <is>
          <t>Simple</t>
        </is>
      </c>
      <c r="F316" s="25">
        <f>VLOOKUP(E316,Assumptions!$A$5:$B$8,2,0)</f>
        <v/>
      </c>
    </row>
    <row r="317">
      <c r="A317" t="inlineStr">
        <is>
          <t>Lockers</t>
        </is>
      </c>
      <c r="B317" t="inlineStr"/>
      <c r="C317" t="inlineStr">
        <is>
          <t>K_LockerSignature.aspx</t>
        </is>
      </c>
      <c r="D317" t="inlineStr">
        <is>
          <t>Lockers/K_LockerSignature.aspx</t>
        </is>
      </c>
      <c r="E317" t="inlineStr">
        <is>
          <t>Simple</t>
        </is>
      </c>
      <c r="F317" s="25">
        <f>VLOOKUP(E317,Assumptions!$A$5:$B$8,2,0)</f>
        <v/>
      </c>
    </row>
    <row r="318">
      <c r="A318" t="inlineStr">
        <is>
          <t>Lockers</t>
        </is>
      </c>
      <c r="B318" t="inlineStr"/>
      <c r="C318" t="inlineStr">
        <is>
          <t>k_LockerAccChangeHistoryPopup.aspx</t>
        </is>
      </c>
      <c r="D318" t="inlineStr">
        <is>
          <t>Lockers/k_LockerAccChangeHistoryPopup.aspx</t>
        </is>
      </c>
      <c r="E318" t="inlineStr">
        <is>
          <t>Simple</t>
        </is>
      </c>
      <c r="F318" s="25">
        <f>VLOOKUP(E318,Assumptions!$A$5:$B$8,2,0)</f>
        <v/>
      </c>
    </row>
    <row r="319">
      <c r="A319" t="inlineStr">
        <is>
          <t>Lockers</t>
        </is>
      </c>
      <c r="B319" t="inlineStr"/>
      <c r="C319" t="inlineStr">
        <is>
          <t>k_LockerAdvRental.aspx</t>
        </is>
      </c>
      <c r="D319" t="inlineStr">
        <is>
          <t>Lockers/k_LockerAdvRental.aspx</t>
        </is>
      </c>
      <c r="E319" t="inlineStr">
        <is>
          <t>Simple</t>
        </is>
      </c>
      <c r="F319" s="25">
        <f>VLOOKUP(E319,Assumptions!$A$5:$B$8,2,0)</f>
        <v/>
      </c>
    </row>
    <row r="320">
      <c r="A320" t="inlineStr">
        <is>
          <t>Lockers</t>
        </is>
      </c>
      <c r="B320" t="inlineStr"/>
      <c r="C320" t="inlineStr">
        <is>
          <t>k_LockerBreak.aspx</t>
        </is>
      </c>
      <c r="D320" t="inlineStr">
        <is>
          <t>Lockers/k_LockerBreak.aspx</t>
        </is>
      </c>
      <c r="E320" t="inlineStr">
        <is>
          <t>Simple</t>
        </is>
      </c>
      <c r="F320" s="25">
        <f>VLOOKUP(E320,Assumptions!$A$5:$B$8,2,0)</f>
        <v/>
      </c>
    </row>
    <row r="321">
      <c r="A321" t="inlineStr">
        <is>
          <t>Lockers</t>
        </is>
      </c>
      <c r="B321" t="inlineStr"/>
      <c r="C321" t="inlineStr">
        <is>
          <t>k_LockerIssue.aspx</t>
        </is>
      </c>
      <c r="D321" t="inlineStr">
        <is>
          <t>Lockers/k_LockerIssue.aspx</t>
        </is>
      </c>
      <c r="E321" t="inlineStr">
        <is>
          <t>Simple</t>
        </is>
      </c>
      <c r="F321" s="25">
        <f>VLOOKUP(E321,Assumptions!$A$5:$B$8,2,0)</f>
        <v/>
      </c>
    </row>
    <row r="322">
      <c r="A322" t="inlineStr">
        <is>
          <t>Lockers</t>
        </is>
      </c>
      <c r="B322" t="inlineStr"/>
      <c r="C322" t="inlineStr">
        <is>
          <t>k_LockerMake.aspx</t>
        </is>
      </c>
      <c r="D322" t="inlineStr">
        <is>
          <t>Lockers/k_LockerMake.aspx</t>
        </is>
      </c>
      <c r="E322" t="inlineStr">
        <is>
          <t>Simple</t>
        </is>
      </c>
      <c r="F322" s="25">
        <f>VLOOKUP(E322,Assumptions!$A$5:$B$8,2,0)</f>
        <v/>
      </c>
    </row>
    <row r="323">
      <c r="A323" t="inlineStr">
        <is>
          <t>Lockers</t>
        </is>
      </c>
      <c r="B323" t="inlineStr"/>
      <c r="C323" t="inlineStr">
        <is>
          <t>k_LockerMaster.aspx</t>
        </is>
      </c>
      <c r="D323" t="inlineStr">
        <is>
          <t>Lockers/k_LockerMaster.aspx</t>
        </is>
      </c>
      <c r="E323" t="inlineStr">
        <is>
          <t>Simple</t>
        </is>
      </c>
      <c r="F323" s="25">
        <f>VLOOKUP(E323,Assumptions!$A$5:$B$8,2,0)</f>
        <v/>
      </c>
    </row>
    <row r="324">
      <c r="A324" t="inlineStr">
        <is>
          <t>Lockers</t>
        </is>
      </c>
      <c r="B324" t="inlineStr"/>
      <c r="C324" t="inlineStr">
        <is>
          <t>k_LockerOpratorSignPopup.aspx</t>
        </is>
      </c>
      <c r="D324" t="inlineStr">
        <is>
          <t>Lockers/k_LockerOpratorSignPopup.aspx</t>
        </is>
      </c>
      <c r="E324" t="inlineStr">
        <is>
          <t>Simple</t>
        </is>
      </c>
      <c r="F324" s="25">
        <f>VLOOKUP(E324,Assumptions!$A$5:$B$8,2,0)</f>
        <v/>
      </c>
    </row>
    <row r="325">
      <c r="A325" t="inlineStr">
        <is>
          <t>Lockers</t>
        </is>
      </c>
      <c r="B325" t="inlineStr"/>
      <c r="C325" t="inlineStr">
        <is>
          <t>k_LockerReturn.aspx</t>
        </is>
      </c>
      <c r="D325" t="inlineStr">
        <is>
          <t>Lockers/k_LockerReturn.aspx</t>
        </is>
      </c>
      <c r="E325" t="inlineStr">
        <is>
          <t>Simple</t>
        </is>
      </c>
      <c r="F325" s="25">
        <f>VLOOKUP(E325,Assumptions!$A$5:$B$8,2,0)</f>
        <v/>
      </c>
    </row>
    <row r="326">
      <c r="A326" t="inlineStr">
        <is>
          <t>Lockers</t>
        </is>
      </c>
      <c r="B326" t="inlineStr"/>
      <c r="C326" t="inlineStr">
        <is>
          <t>k_LockerType.aspx</t>
        </is>
      </c>
      <c r="D326" t="inlineStr">
        <is>
          <t>Lockers/k_LockerType.aspx</t>
        </is>
      </c>
      <c r="E326" t="inlineStr">
        <is>
          <t>Simple</t>
        </is>
      </c>
      <c r="F326" s="25">
        <f>VLOOKUP(E326,Assumptions!$A$5:$B$8,2,0)</f>
        <v/>
      </c>
    </row>
    <row r="327">
      <c r="A327" t="inlineStr">
        <is>
          <t>Lockers</t>
        </is>
      </c>
      <c r="B327" t="inlineStr"/>
      <c r="C327" t="inlineStr">
        <is>
          <t>k_LockerVerifyPassPopup.aspx</t>
        </is>
      </c>
      <c r="D327" t="inlineStr">
        <is>
          <t>Lockers/k_LockerVerifyPassPopup.aspx</t>
        </is>
      </c>
      <c r="E327" t="inlineStr">
        <is>
          <t>Simple</t>
        </is>
      </c>
      <c r="F327" s="25">
        <f>VLOOKUP(E327,Assumptions!$A$5:$B$8,2,0)</f>
        <v/>
      </c>
    </row>
    <row r="328">
      <c r="A328" t="inlineStr">
        <is>
          <t>Lockers</t>
        </is>
      </c>
      <c r="B328" t="inlineStr"/>
      <c r="C328" t="inlineStr">
        <is>
          <t>k_LockerVisiting.aspx</t>
        </is>
      </c>
      <c r="D328" t="inlineStr">
        <is>
          <t>Lockers/k_LockerVisiting.aspx</t>
        </is>
      </c>
      <c r="E328" t="inlineStr">
        <is>
          <t>Simple</t>
        </is>
      </c>
      <c r="F328" s="25">
        <f>VLOOKUP(E328,Assumptions!$A$5:$B$8,2,0)</f>
        <v/>
      </c>
    </row>
    <row r="329">
      <c r="A329" t="inlineStr">
        <is>
          <t>Lockers</t>
        </is>
      </c>
      <c r="B329" t="inlineStr"/>
      <c r="C329" t="inlineStr">
        <is>
          <t>k_LockerWaitlist.aspx</t>
        </is>
      </c>
      <c r="D329" t="inlineStr">
        <is>
          <t>Lockers/k_LockerWaitlist.aspx</t>
        </is>
      </c>
      <c r="E329" t="inlineStr">
        <is>
          <t>Simple</t>
        </is>
      </c>
      <c r="F329" s="25">
        <f>VLOOKUP(E329,Assumptions!$A$5:$B$8,2,0)</f>
        <v/>
      </c>
    </row>
    <row r="330">
      <c r="A330" t="inlineStr">
        <is>
          <t>Lockers</t>
        </is>
      </c>
      <c r="B330" t="inlineStr"/>
      <c r="C330" t="inlineStr">
        <is>
          <t>k_NomineeOperatorHisPopup.aspx</t>
        </is>
      </c>
      <c r="D330" t="inlineStr">
        <is>
          <t>Lockers/k_NomineeOperatorHisPopup.aspx</t>
        </is>
      </c>
      <c r="E330" t="inlineStr">
        <is>
          <t>Simple</t>
        </is>
      </c>
      <c r="F330" s="25">
        <f>VLOOKUP(E330,Assumptions!$A$5:$B$8,2,0)</f>
        <v/>
      </c>
    </row>
    <row r="331">
      <c r="A331" t="inlineStr">
        <is>
          <t>(root)</t>
        </is>
      </c>
      <c r="B331" t="inlineStr"/>
      <c r="C331" t="inlineStr">
        <is>
          <t>Login.aspx</t>
        </is>
      </c>
      <c r="D331" t="inlineStr">
        <is>
          <t>Login.aspx</t>
        </is>
      </c>
      <c r="E331" t="inlineStr">
        <is>
          <t>Simple</t>
        </is>
      </c>
      <c r="F331" s="25">
        <f>VLOOKUP(E331,Assumptions!$A$5:$B$8,2,0)</f>
        <v/>
      </c>
    </row>
    <row r="332">
      <c r="A332" t="inlineStr">
        <is>
          <t>Reconciliation</t>
        </is>
      </c>
      <c r="B332" t="inlineStr"/>
      <c r="C332" t="inlineStr">
        <is>
          <t>Re_OutPutType.aspx</t>
        </is>
      </c>
      <c r="D332" t="inlineStr">
        <is>
          <t>Reconciliation/Re_OutPutType.aspx</t>
        </is>
      </c>
      <c r="E332" t="inlineStr">
        <is>
          <t>Complex</t>
        </is>
      </c>
      <c r="F332" s="25">
        <f>VLOOKUP(E332,Assumptions!$A$5:$B$8,2,0)</f>
        <v/>
      </c>
    </row>
    <row r="333">
      <c r="A333" t="inlineStr">
        <is>
          <t>Reconciliation</t>
        </is>
      </c>
      <c r="B333" t="inlineStr"/>
      <c r="C333" t="inlineStr">
        <is>
          <t>re_AccountMapping.aspx</t>
        </is>
      </c>
      <c r="D333" t="inlineStr">
        <is>
          <t>Reconciliation/re_AccountMapping.aspx</t>
        </is>
      </c>
      <c r="E333" t="inlineStr">
        <is>
          <t>Complex</t>
        </is>
      </c>
      <c r="F333" s="25">
        <f>VLOOKUP(E333,Assumptions!$A$5:$B$8,2,0)</f>
        <v/>
      </c>
    </row>
    <row r="334">
      <c r="A334" t="inlineStr">
        <is>
          <t>Reconciliation</t>
        </is>
      </c>
      <c r="B334" t="inlineStr"/>
      <c r="C334" t="inlineStr">
        <is>
          <t>re_BankAccountInformation.aspx</t>
        </is>
      </c>
      <c r="D334" t="inlineStr">
        <is>
          <t>Reconciliation/re_BankAccountInformation.aspx</t>
        </is>
      </c>
      <c r="E334" t="inlineStr">
        <is>
          <t>Complex</t>
        </is>
      </c>
      <c r="F334" s="25">
        <f>VLOOKUP(E334,Assumptions!$A$5:$B$8,2,0)</f>
        <v/>
      </c>
    </row>
    <row r="335">
      <c r="A335" t="inlineStr">
        <is>
          <t>Reconciliation</t>
        </is>
      </c>
      <c r="B335" t="inlineStr"/>
      <c r="C335" t="inlineStr">
        <is>
          <t>re_DeleteOLedgerImportData.aspx</t>
        </is>
      </c>
      <c r="D335" t="inlineStr">
        <is>
          <t>Reconciliation/re_DeleteOLedgerImportData.aspx</t>
        </is>
      </c>
      <c r="E335" t="inlineStr">
        <is>
          <t>Complex</t>
        </is>
      </c>
      <c r="F335" s="25">
        <f>VLOOKUP(E335,Assumptions!$A$5:$B$8,2,0)</f>
        <v/>
      </c>
    </row>
    <row r="336">
      <c r="A336" t="inlineStr">
        <is>
          <t>Reconciliation</t>
        </is>
      </c>
      <c r="B336" t="inlineStr"/>
      <c r="C336" t="inlineStr">
        <is>
          <t>re_DeleteTLedgerImportData.aspx</t>
        </is>
      </c>
      <c r="D336" t="inlineStr">
        <is>
          <t>Reconciliation/re_DeleteTLedgerImportData.aspx</t>
        </is>
      </c>
      <c r="E336" t="inlineStr">
        <is>
          <t>Complex</t>
        </is>
      </c>
      <c r="F336" s="25">
        <f>VLOOKUP(E336,Assumptions!$A$5:$B$8,2,0)</f>
        <v/>
      </c>
    </row>
    <row r="337">
      <c r="A337" t="inlineStr">
        <is>
          <t>Reconciliation</t>
        </is>
      </c>
      <c r="B337" t="inlineStr"/>
      <c r="C337" t="inlineStr">
        <is>
          <t>re_FWATMRecConfig.aspx</t>
        </is>
      </c>
      <c r="D337" t="inlineStr">
        <is>
          <t>Reconciliation/re_FWATMRecConfig.aspx</t>
        </is>
      </c>
      <c r="E337" t="inlineStr">
        <is>
          <t>Complex</t>
        </is>
      </c>
      <c r="F337" s="25">
        <f>VLOOKUP(E337,Assumptions!$A$5:$B$8,2,0)</f>
        <v/>
      </c>
    </row>
    <row r="338">
      <c r="A338" t="inlineStr">
        <is>
          <t>Reconciliation</t>
        </is>
      </c>
      <c r="B338" t="inlineStr"/>
      <c r="C338" t="inlineStr">
        <is>
          <t>re_FWATMTerminalFormatMapping.aspx</t>
        </is>
      </c>
      <c r="D338" t="inlineStr">
        <is>
          <t>Reconciliation/re_FWATMTerminalFormatMapping.aspx</t>
        </is>
      </c>
      <c r="E338" t="inlineStr">
        <is>
          <t>Complex</t>
        </is>
      </c>
      <c r="F338" s="25">
        <f>VLOOKUP(E338,Assumptions!$A$5:$B$8,2,0)</f>
        <v/>
      </c>
    </row>
    <row r="339">
      <c r="A339" t="inlineStr">
        <is>
          <t>Reconciliation</t>
        </is>
      </c>
      <c r="B339" t="inlineStr"/>
      <c r="C339" t="inlineStr">
        <is>
          <t>re_FWAccountTransactionMapping.aspx</t>
        </is>
      </c>
      <c r="D339" t="inlineStr">
        <is>
          <t>Reconciliation/re_FWAccountTransactionMapping.aspx</t>
        </is>
      </c>
      <c r="E339" t="inlineStr">
        <is>
          <t>Complex</t>
        </is>
      </c>
      <c r="F339" s="25">
        <f>VLOOKUP(E339,Assumptions!$A$5:$B$8,2,0)</f>
        <v/>
      </c>
    </row>
    <row r="340">
      <c r="A340" t="inlineStr">
        <is>
          <t>Reconciliation</t>
        </is>
      </c>
      <c r="B340" t="inlineStr"/>
      <c r="C340" t="inlineStr">
        <is>
          <t>re_FWAutoReconRRNWise.aspx</t>
        </is>
      </c>
      <c r="D340" t="inlineStr">
        <is>
          <t>Reconciliation/re_FWAutoReconRRNWise.aspx</t>
        </is>
      </c>
      <c r="E340" t="inlineStr">
        <is>
          <t>Complex</t>
        </is>
      </c>
      <c r="F340" s="25">
        <f>VLOOKUP(E340,Assumptions!$A$5:$B$8,2,0)</f>
        <v/>
      </c>
    </row>
    <row r="341">
      <c r="A341" t="inlineStr">
        <is>
          <t>Reconciliation</t>
        </is>
      </c>
      <c r="B341" t="inlineStr"/>
      <c r="C341" t="inlineStr">
        <is>
          <t>re_FWAutoReconRRNWisePopUp.aspx</t>
        </is>
      </c>
      <c r="D341" t="inlineStr">
        <is>
          <t>Reconciliation/re_FWAutoReconRRNWisePopUp.aspx</t>
        </is>
      </c>
      <c r="E341" t="inlineStr">
        <is>
          <t>Complex</t>
        </is>
      </c>
      <c r="F341" s="25">
        <f>VLOOKUP(E341,Assumptions!$A$5:$B$8,2,0)</f>
        <v/>
      </c>
    </row>
    <row r="342">
      <c r="A342" t="inlineStr">
        <is>
          <t>Reconciliation</t>
        </is>
      </c>
      <c r="B342" t="inlineStr"/>
      <c r="C342" t="inlineStr">
        <is>
          <t>re_FWAutoReconciliation.aspx</t>
        </is>
      </c>
      <c r="D342" t="inlineStr">
        <is>
          <t>Reconciliation/re_FWAutoReconciliation.aspx</t>
        </is>
      </c>
      <c r="E342" t="inlineStr">
        <is>
          <t>Complex</t>
        </is>
      </c>
      <c r="F342" s="25">
        <f>VLOOKUP(E342,Assumptions!$A$5:$B$8,2,0)</f>
        <v/>
      </c>
    </row>
    <row r="343">
      <c r="A343" t="inlineStr">
        <is>
          <t>Reconciliation</t>
        </is>
      </c>
      <c r="B343" t="inlineStr"/>
      <c r="C343" t="inlineStr">
        <is>
          <t>re_FWConfigDataFilter.aspx</t>
        </is>
      </c>
      <c r="D343" t="inlineStr">
        <is>
          <t>Reconciliation/re_FWConfigDataFilter.aspx</t>
        </is>
      </c>
      <c r="E343" t="inlineStr">
        <is>
          <t>Complex</t>
        </is>
      </c>
      <c r="F343" s="25">
        <f>VLOOKUP(E343,Assumptions!$A$5:$B$8,2,0)</f>
        <v/>
      </c>
    </row>
    <row r="344">
      <c r="A344" t="inlineStr">
        <is>
          <t>Reconciliation</t>
        </is>
      </c>
      <c r="B344" t="inlineStr"/>
      <c r="C344" t="inlineStr">
        <is>
          <t>re_FWConfigTextFile.aspx</t>
        </is>
      </c>
      <c r="D344" t="inlineStr">
        <is>
          <t>Reconciliation/re_FWConfigTextFile.aspx</t>
        </is>
      </c>
      <c r="E344" t="inlineStr">
        <is>
          <t>Complex</t>
        </is>
      </c>
      <c r="F344" s="25">
        <f>VLOOKUP(E344,Assumptions!$A$5:$B$8,2,0)</f>
        <v/>
      </c>
    </row>
    <row r="345">
      <c r="A345" t="inlineStr">
        <is>
          <t>Reconciliation</t>
        </is>
      </c>
      <c r="B345" t="inlineStr"/>
      <c r="C345" t="inlineStr">
        <is>
          <t>re_FWDSRFileItemList.aspx</t>
        </is>
      </c>
      <c r="D345" t="inlineStr">
        <is>
          <t>Reconciliation/re_FWDSRFileItemList.aspx</t>
        </is>
      </c>
      <c r="E345" t="inlineStr">
        <is>
          <t>Complex</t>
        </is>
      </c>
      <c r="F345" s="25">
        <f>VLOOKUP(E345,Assumptions!$A$5:$B$8,2,0)</f>
        <v/>
      </c>
    </row>
    <row r="346">
      <c r="A346" t="inlineStr">
        <is>
          <t>Reconciliation</t>
        </is>
      </c>
      <c r="B346" t="inlineStr"/>
      <c r="C346" t="inlineStr">
        <is>
          <t>re_FWDeleteDSRUnpassedData.aspx</t>
        </is>
      </c>
      <c r="D346" t="inlineStr">
        <is>
          <t>Reconciliation/re_FWDeleteDSRUnpassedData.aspx</t>
        </is>
      </c>
      <c r="E346" t="inlineStr">
        <is>
          <t>Complex</t>
        </is>
      </c>
      <c r="F346" s="25">
        <f>VLOOKUP(E346,Assumptions!$A$5:$B$8,2,0)</f>
        <v/>
      </c>
    </row>
    <row r="347">
      <c r="A347" t="inlineStr">
        <is>
          <t>Reconciliation</t>
        </is>
      </c>
      <c r="B347" t="inlineStr"/>
      <c r="C347" t="inlineStr">
        <is>
          <t>re_FWDeleteImportDSRFileData.aspx</t>
        </is>
      </c>
      <c r="D347" t="inlineStr">
        <is>
          <t>Reconciliation/re_FWDeleteImportDSRFileData.aspx</t>
        </is>
      </c>
      <c r="E347" t="inlineStr">
        <is>
          <t>Complex</t>
        </is>
      </c>
      <c r="F347" s="25">
        <f>VLOOKUP(E347,Assumptions!$A$5:$B$8,2,0)</f>
        <v/>
      </c>
    </row>
    <row r="348">
      <c r="A348" t="inlineStr">
        <is>
          <t>Reconciliation</t>
        </is>
      </c>
      <c r="B348" t="inlineStr"/>
      <c r="C348" t="inlineStr">
        <is>
          <t>re_FWDeleteImportData.aspx</t>
        </is>
      </c>
      <c r="D348" t="inlineStr">
        <is>
          <t>Reconciliation/re_FWDeleteImportData.aspx</t>
        </is>
      </c>
      <c r="E348" t="inlineStr">
        <is>
          <t>Complex</t>
        </is>
      </c>
      <c r="F348" s="25">
        <f>VLOOKUP(E348,Assumptions!$A$5:$B$8,2,0)</f>
        <v/>
      </c>
    </row>
    <row r="349">
      <c r="A349" t="inlineStr">
        <is>
          <t>Reconciliation</t>
        </is>
      </c>
      <c r="B349" t="inlineStr"/>
      <c r="C349" t="inlineStr">
        <is>
          <t>re_FWDeleteImportSettlementData.aspx</t>
        </is>
      </c>
      <c r="D349" t="inlineStr">
        <is>
          <t>Reconciliation/re_FWDeleteImportSettlementData.aspx</t>
        </is>
      </c>
      <c r="E349" t="inlineStr">
        <is>
          <t>Complex</t>
        </is>
      </c>
      <c r="F349" s="25">
        <f>VLOOKUP(E349,Assumptions!$A$5:$B$8,2,0)</f>
        <v/>
      </c>
    </row>
    <row r="350">
      <c r="A350" t="inlineStr">
        <is>
          <t>Reconciliation</t>
        </is>
      </c>
      <c r="B350" t="inlineStr"/>
      <c r="C350" t="inlineStr">
        <is>
          <t>re_FWDisputeCaseCofiguration.aspx</t>
        </is>
      </c>
      <c r="D350" t="inlineStr">
        <is>
          <t>Reconciliation/re_FWDisputeCaseCofiguration.aspx</t>
        </is>
      </c>
      <c r="E350" t="inlineStr">
        <is>
          <t>Complex</t>
        </is>
      </c>
      <c r="F350" s="25">
        <f>VLOOKUP(E350,Assumptions!$A$5:$B$8,2,0)</f>
        <v/>
      </c>
    </row>
    <row r="351">
      <c r="A351" t="inlineStr">
        <is>
          <t>Reconciliation</t>
        </is>
      </c>
      <c r="B351" t="inlineStr"/>
      <c r="C351" t="inlineStr">
        <is>
          <t>re_FWDisputeCaseConfiguration.aspx</t>
        </is>
      </c>
      <c r="D351" t="inlineStr">
        <is>
          <t>Reconciliation/re_FWDisputeCaseConfiguration.aspx</t>
        </is>
      </c>
      <c r="E351" t="inlineStr">
        <is>
          <t>Complex</t>
        </is>
      </c>
      <c r="F351" s="25">
        <f>VLOOKUP(E351,Assumptions!$A$5:$B$8,2,0)</f>
        <v/>
      </c>
    </row>
    <row r="352">
      <c r="A352" t="inlineStr">
        <is>
          <t>Reconciliation</t>
        </is>
      </c>
      <c r="B352" t="inlineStr"/>
      <c r="C352" t="inlineStr">
        <is>
          <t>re_FWDisputeTransaction.aspx</t>
        </is>
      </c>
      <c r="D352" t="inlineStr">
        <is>
          <t>Reconciliation/re_FWDisputeTransaction.aspx</t>
        </is>
      </c>
      <c r="E352" t="inlineStr">
        <is>
          <t>Complex</t>
        </is>
      </c>
      <c r="F352" s="25">
        <f>VLOOKUP(E352,Assumptions!$A$5:$B$8,2,0)</f>
        <v/>
      </c>
    </row>
    <row r="353">
      <c r="A353" t="inlineStr">
        <is>
          <t>Reconciliation</t>
        </is>
      </c>
      <c r="B353" t="inlineStr"/>
      <c r="C353" t="inlineStr">
        <is>
          <t>re_FWFileMapping.aspx</t>
        </is>
      </c>
      <c r="D353" t="inlineStr">
        <is>
          <t>Reconciliation/re_FWFileMapping.aspx</t>
        </is>
      </c>
      <c r="E353" t="inlineStr">
        <is>
          <t>Complex</t>
        </is>
      </c>
      <c r="F353" s="25">
        <f>VLOOKUP(E353,Assumptions!$A$5:$B$8,2,0)</f>
        <v/>
      </c>
    </row>
    <row r="354">
      <c r="A354" t="inlineStr">
        <is>
          <t>Reconciliation</t>
        </is>
      </c>
      <c r="B354" t="inlineStr"/>
      <c r="C354" t="inlineStr">
        <is>
          <t>re_FWForceReconciliation.aspx</t>
        </is>
      </c>
      <c r="D354" t="inlineStr">
        <is>
          <t>Reconciliation/re_FWForceReconciliation.aspx</t>
        </is>
      </c>
      <c r="E354" t="inlineStr">
        <is>
          <t>Complex</t>
        </is>
      </c>
      <c r="F354" s="25">
        <f>VLOOKUP(E354,Assumptions!$A$5:$B$8,2,0)</f>
        <v/>
      </c>
    </row>
    <row r="355">
      <c r="A355" t="inlineStr">
        <is>
          <t>Reconciliation</t>
        </is>
      </c>
      <c r="B355" t="inlineStr"/>
      <c r="C355" t="inlineStr">
        <is>
          <t>re_FWFormWiseEntity.aspx</t>
        </is>
      </c>
      <c r="D355" t="inlineStr">
        <is>
          <t>Reconciliation/re_FWFormWiseEntity.aspx</t>
        </is>
      </c>
      <c r="E355" t="inlineStr">
        <is>
          <t>Complex</t>
        </is>
      </c>
      <c r="F355" s="25">
        <f>VLOOKUP(E355,Assumptions!$A$5:$B$8,2,0)</f>
        <v/>
      </c>
    </row>
    <row r="356">
      <c r="A356" t="inlineStr">
        <is>
          <t>Reconciliation</t>
        </is>
      </c>
      <c r="B356" t="inlineStr"/>
      <c r="C356" t="inlineStr">
        <is>
          <t>re_FWImportDSRExcelFile.aspx</t>
        </is>
      </c>
      <c r="D356" t="inlineStr">
        <is>
          <t>Reconciliation/re_FWImportDSRExcelFile.aspx</t>
        </is>
      </c>
      <c r="E356" t="inlineStr">
        <is>
          <t>Complex</t>
        </is>
      </c>
      <c r="F356" s="25">
        <f>VLOOKUP(E356,Assumptions!$A$5:$B$8,2,0)</f>
        <v/>
      </c>
    </row>
    <row r="357">
      <c r="A357" t="inlineStr">
        <is>
          <t>Reconciliation</t>
        </is>
      </c>
      <c r="B357" t="inlineStr"/>
      <c r="C357" t="inlineStr">
        <is>
          <t>re_FWImportEJPoolTextFile.aspx</t>
        </is>
      </c>
      <c r="D357" t="inlineStr">
        <is>
          <t>Reconciliation/re_FWImportEJPoolTextFile.aspx</t>
        </is>
      </c>
      <c r="E357" t="inlineStr">
        <is>
          <t>Complex</t>
        </is>
      </c>
      <c r="F357" s="25">
        <f>VLOOKUP(E357,Assumptions!$A$5:$B$8,2,0)</f>
        <v/>
      </c>
    </row>
    <row r="358">
      <c r="A358" t="inlineStr">
        <is>
          <t>Reconciliation</t>
        </is>
      </c>
      <c r="B358" t="inlineStr"/>
      <c r="C358" t="inlineStr">
        <is>
          <t>re_FWImportEJPoolTextFileMulti.aspx</t>
        </is>
      </c>
      <c r="D358" t="inlineStr">
        <is>
          <t>Reconciliation/re_FWImportEJPoolTextFileMulti.aspx</t>
        </is>
      </c>
      <c r="E358" t="inlineStr">
        <is>
          <t>Complex</t>
        </is>
      </c>
      <c r="F358" s="25">
        <f>VLOOKUP(E358,Assumptions!$A$5:$B$8,2,0)</f>
        <v/>
      </c>
    </row>
    <row r="359">
      <c r="A359" t="inlineStr">
        <is>
          <t>Reconciliation</t>
        </is>
      </c>
      <c r="B359" t="inlineStr"/>
      <c r="C359" t="inlineStr">
        <is>
          <t>re_FWImportEntityFile.aspx</t>
        </is>
      </c>
      <c r="D359" t="inlineStr">
        <is>
          <t>Reconciliation/re_FWImportEntityFile.aspx</t>
        </is>
      </c>
      <c r="E359" t="inlineStr">
        <is>
          <t>Complex</t>
        </is>
      </c>
      <c r="F359" s="25">
        <f>VLOOKUP(E359,Assumptions!$A$5:$B$8,2,0)</f>
        <v/>
      </c>
    </row>
    <row r="360">
      <c r="A360" t="inlineStr">
        <is>
          <t>Reconciliation</t>
        </is>
      </c>
      <c r="B360" t="inlineStr"/>
      <c r="C360" t="inlineStr">
        <is>
          <t>re_FWImportExcelFile.aspx</t>
        </is>
      </c>
      <c r="D360" t="inlineStr">
        <is>
          <t>Reconciliation/re_FWImportExcelFile.aspx</t>
        </is>
      </c>
      <c r="E360" t="inlineStr">
        <is>
          <t>Complex</t>
        </is>
      </c>
      <c r="F360" s="25">
        <f>VLOOKUP(E360,Assumptions!$A$5:$B$8,2,0)</f>
        <v/>
      </c>
    </row>
    <row r="361">
      <c r="A361" t="inlineStr">
        <is>
          <t>Reconciliation</t>
        </is>
      </c>
      <c r="B361" t="inlineStr"/>
      <c r="C361" t="inlineStr">
        <is>
          <t>re_FWImportExcelFileMulti.aspx</t>
        </is>
      </c>
      <c r="D361" t="inlineStr">
        <is>
          <t>Reconciliation/re_FWImportExcelFileMulti.aspx</t>
        </is>
      </c>
      <c r="E361" t="inlineStr">
        <is>
          <t>Complex</t>
        </is>
      </c>
      <c r="F361" s="25">
        <f>VLOOKUP(E361,Assumptions!$A$5:$B$8,2,0)</f>
        <v/>
      </c>
    </row>
    <row r="362">
      <c r="A362" t="inlineStr">
        <is>
          <t>Reconciliation</t>
        </is>
      </c>
      <c r="B362" t="inlineStr"/>
      <c r="C362" t="inlineStr">
        <is>
          <t>re_FWImportPOSExcelFile.aspx</t>
        </is>
      </c>
      <c r="D362" t="inlineStr">
        <is>
          <t>Reconciliation/re_FWImportPOSExcelFile.aspx</t>
        </is>
      </c>
      <c r="E362" t="inlineStr">
        <is>
          <t>Complex</t>
        </is>
      </c>
      <c r="F362" s="25">
        <f>VLOOKUP(E362,Assumptions!$A$5:$B$8,2,0)</f>
        <v/>
      </c>
    </row>
    <row r="363">
      <c r="A363" t="inlineStr">
        <is>
          <t>Reconciliation</t>
        </is>
      </c>
      <c r="B363" t="inlineStr"/>
      <c r="C363" t="inlineStr">
        <is>
          <t>re_FWImportSwitchExcelFile.aspx</t>
        </is>
      </c>
      <c r="D363" t="inlineStr">
        <is>
          <t>Reconciliation/re_FWImportSwitchExcelFile.aspx</t>
        </is>
      </c>
      <c r="E363" t="inlineStr">
        <is>
          <t>Complex</t>
        </is>
      </c>
      <c r="F363" s="25">
        <f>VLOOKUP(E363,Assumptions!$A$5:$B$8,2,0)</f>
        <v/>
      </c>
    </row>
    <row r="364">
      <c r="A364" t="inlineStr">
        <is>
          <t>Reconciliation</t>
        </is>
      </c>
      <c r="B364" t="inlineStr"/>
      <c r="C364" t="inlineStr">
        <is>
          <t>re_FWImportSwitchExcelFileMulti.aspx</t>
        </is>
      </c>
      <c r="D364" t="inlineStr">
        <is>
          <t>Reconciliation/re_FWImportSwitchExcelFileMulti.aspx</t>
        </is>
      </c>
      <c r="E364" t="inlineStr">
        <is>
          <t>Complex</t>
        </is>
      </c>
      <c r="F364" s="25">
        <f>VLOOKUP(E364,Assumptions!$A$5:$B$8,2,0)</f>
        <v/>
      </c>
    </row>
    <row r="365">
      <c r="A365" t="inlineStr">
        <is>
          <t>Reconciliation</t>
        </is>
      </c>
      <c r="B365" t="inlineStr"/>
      <c r="C365" t="inlineStr">
        <is>
          <t>re_FWImportTextFile.aspx</t>
        </is>
      </c>
      <c r="D365" t="inlineStr">
        <is>
          <t>Reconciliation/re_FWImportTextFile.aspx</t>
        </is>
      </c>
      <c r="E365" t="inlineStr">
        <is>
          <t>Complex</t>
        </is>
      </c>
      <c r="F365" s="25">
        <f>VLOOKUP(E365,Assumptions!$A$5:$B$8,2,0)</f>
        <v/>
      </c>
    </row>
    <row r="366">
      <c r="A366" t="inlineStr">
        <is>
          <t>Reconciliation</t>
        </is>
      </c>
      <c r="B366" t="inlineStr"/>
      <c r="C366" t="inlineStr">
        <is>
          <t>re_FWImportTextFileMulti.aspx</t>
        </is>
      </c>
      <c r="D366" t="inlineStr">
        <is>
          <t>Reconciliation/re_FWImportTextFileMulti.aspx</t>
        </is>
      </c>
      <c r="E366" t="inlineStr">
        <is>
          <t>Complex</t>
        </is>
      </c>
      <c r="F366" s="25">
        <f>VLOOKUP(E366,Assumptions!$A$5:$B$8,2,0)</f>
        <v/>
      </c>
    </row>
    <row r="367">
      <c r="A367" t="inlineStr">
        <is>
          <t>Reconciliation</t>
        </is>
      </c>
      <c r="B367" t="inlineStr"/>
      <c r="C367" t="inlineStr">
        <is>
          <t>re_FWImportTrustLedger.aspx</t>
        </is>
      </c>
      <c r="D367" t="inlineStr">
        <is>
          <t>Reconciliation/re_FWImportTrustLedger.aspx</t>
        </is>
      </c>
      <c r="E367" t="inlineStr">
        <is>
          <t>Complex</t>
        </is>
      </c>
      <c r="F367" s="25">
        <f>VLOOKUP(E367,Assumptions!$A$5:$B$8,2,0)</f>
        <v/>
      </c>
    </row>
    <row r="368">
      <c r="A368" t="inlineStr">
        <is>
          <t>Reconciliation</t>
        </is>
      </c>
      <c r="B368" t="inlineStr"/>
      <c r="C368" t="inlineStr">
        <is>
          <t>re_FWLoadFile.aspx</t>
        </is>
      </c>
      <c r="D368" t="inlineStr">
        <is>
          <t>Reconciliation/re_FWLoadFile.aspx</t>
        </is>
      </c>
      <c r="E368" t="inlineStr">
        <is>
          <t>Complex</t>
        </is>
      </c>
      <c r="F368" s="25">
        <f>VLOOKUP(E368,Assumptions!$A$5:$B$8,2,0)</f>
        <v/>
      </c>
    </row>
    <row r="369">
      <c r="A369" t="inlineStr">
        <is>
          <t>Reconciliation</t>
        </is>
      </c>
      <c r="B369" t="inlineStr"/>
      <c r="C369" t="inlineStr">
        <is>
          <t>re_FWManualReconciliation.aspx</t>
        </is>
      </c>
      <c r="D369" t="inlineStr">
        <is>
          <t>Reconciliation/re_FWManualReconciliation.aspx</t>
        </is>
      </c>
      <c r="E369" t="inlineStr">
        <is>
          <t>Complex</t>
        </is>
      </c>
      <c r="F369" s="25">
        <f>VLOOKUP(E369,Assumptions!$A$5:$B$8,2,0)</f>
        <v/>
      </c>
    </row>
    <row r="370">
      <c r="A370" t="inlineStr">
        <is>
          <t>Reconciliation</t>
        </is>
      </c>
      <c r="B370" t="inlineStr"/>
      <c r="C370" t="inlineStr">
        <is>
          <t>re_FWManualReconciliationRollBack.aspx</t>
        </is>
      </c>
      <c r="D370" t="inlineStr">
        <is>
          <t>Reconciliation/re_FWManualReconciliationRollBack.aspx</t>
        </is>
      </c>
      <c r="E370" t="inlineStr">
        <is>
          <t>Complex</t>
        </is>
      </c>
      <c r="F370" s="25">
        <f>VLOOKUP(E370,Assumptions!$A$5:$B$8,2,0)</f>
        <v/>
      </c>
    </row>
    <row r="371">
      <c r="A371" t="inlineStr">
        <is>
          <t>Reconciliation</t>
        </is>
      </c>
      <c r="B371" t="inlineStr"/>
      <c r="C371" t="inlineStr">
        <is>
          <t>re_FWSettlementAccount.aspx</t>
        </is>
      </c>
      <c r="D371" t="inlineStr">
        <is>
          <t>Reconciliation/re_FWSettlementAccount.aspx</t>
        </is>
      </c>
      <c r="E371" t="inlineStr">
        <is>
          <t>Complex</t>
        </is>
      </c>
      <c r="F371" s="25">
        <f>VLOOKUP(E371,Assumptions!$A$5:$B$8,2,0)</f>
        <v/>
      </c>
    </row>
    <row r="372">
      <c r="A372" t="inlineStr">
        <is>
          <t>Reconciliation</t>
        </is>
      </c>
      <c r="B372" t="inlineStr"/>
      <c r="C372" t="inlineStr">
        <is>
          <t>re_FWSettlementAccountLedger.aspx</t>
        </is>
      </c>
      <c r="D372" t="inlineStr">
        <is>
          <t>Reconciliation/re_FWSettlementAccountLedger.aspx</t>
        </is>
      </c>
      <c r="E372" t="inlineStr">
        <is>
          <t>Complex</t>
        </is>
      </c>
      <c r="F372" s="25">
        <f>VLOOKUP(E372,Assumptions!$A$5:$B$8,2,0)</f>
        <v/>
      </c>
    </row>
    <row r="373">
      <c r="A373" t="inlineStr">
        <is>
          <t>Reconciliation</t>
        </is>
      </c>
      <c r="B373" t="inlineStr"/>
      <c r="C373" t="inlineStr">
        <is>
          <t>re_FWSettlementImportMulti.aspx</t>
        </is>
      </c>
      <c r="D373" t="inlineStr">
        <is>
          <t>Reconciliation/re_FWSettlementImportMulti.aspx</t>
        </is>
      </c>
      <c r="E373" t="inlineStr">
        <is>
          <t>Complex</t>
        </is>
      </c>
      <c r="F373" s="25">
        <f>VLOOKUP(E373,Assumptions!$A$5:$B$8,2,0)</f>
        <v/>
      </c>
    </row>
    <row r="374">
      <c r="A374" t="inlineStr">
        <is>
          <t>Reconciliation</t>
        </is>
      </c>
      <c r="B374" t="inlineStr"/>
      <c r="C374" t="inlineStr">
        <is>
          <t>re_FWSettlementItemList.aspx</t>
        </is>
      </c>
      <c r="D374" t="inlineStr">
        <is>
          <t>Reconciliation/re_FWSettlementItemList.aspx</t>
        </is>
      </c>
      <c r="E374" t="inlineStr">
        <is>
          <t>Complex</t>
        </is>
      </c>
      <c r="F374" s="25">
        <f>VLOOKUP(E374,Assumptions!$A$5:$B$8,2,0)</f>
        <v/>
      </c>
    </row>
    <row r="375">
      <c r="A375" t="inlineStr">
        <is>
          <t>Reconciliation</t>
        </is>
      </c>
      <c r="B375" t="inlineStr"/>
      <c r="C375" t="inlineStr">
        <is>
          <t>re_FWSettlementItemListConfiguration.aspx</t>
        </is>
      </c>
      <c r="D375" t="inlineStr">
        <is>
          <t>Reconciliation/re_FWSettlementItemListConfiguration.aspx</t>
        </is>
      </c>
      <c r="E375" t="inlineStr">
        <is>
          <t>Complex</t>
        </is>
      </c>
      <c r="F375" s="25">
        <f>VLOOKUP(E375,Assumptions!$A$5:$B$8,2,0)</f>
        <v/>
      </c>
    </row>
    <row r="376">
      <c r="A376" t="inlineStr">
        <is>
          <t>Reconciliation</t>
        </is>
      </c>
      <c r="B376" t="inlineStr"/>
      <c r="C376" t="inlineStr">
        <is>
          <t>re_FWSettlementItemListMonthly.aspx</t>
        </is>
      </c>
      <c r="D376" t="inlineStr">
        <is>
          <t>Reconciliation/re_FWSettlementItemListMonthly.aspx</t>
        </is>
      </c>
      <c r="E376" t="inlineStr">
        <is>
          <t>Complex</t>
        </is>
      </c>
      <c r="F376" s="25">
        <f>VLOOKUP(E376,Assumptions!$A$5:$B$8,2,0)</f>
        <v/>
      </c>
    </row>
    <row r="377">
      <c r="A377" t="inlineStr">
        <is>
          <t>Reconciliation</t>
        </is>
      </c>
      <c r="B377" t="inlineStr"/>
      <c r="C377" t="inlineStr">
        <is>
          <t>re_FWTransaction.aspx</t>
        </is>
      </c>
      <c r="D377" t="inlineStr">
        <is>
          <t>Reconciliation/re_FWTransaction.aspx</t>
        </is>
      </c>
      <c r="E377" t="inlineStr">
        <is>
          <t>Complex</t>
        </is>
      </c>
      <c r="F377" s="25">
        <f>VLOOKUP(E377,Assumptions!$A$5:$B$8,2,0)</f>
        <v/>
      </c>
    </row>
    <row r="378">
      <c r="A378" t="inlineStr">
        <is>
          <t>Reconciliation</t>
        </is>
      </c>
      <c r="B378" t="inlineStr"/>
      <c r="C378" t="inlineStr">
        <is>
          <t>re_FWTransactionCons.aspx</t>
        </is>
      </c>
      <c r="D378" t="inlineStr">
        <is>
          <t>Reconciliation/re_FWTransactionCons.aspx</t>
        </is>
      </c>
      <c r="E378" t="inlineStr">
        <is>
          <t>Complex</t>
        </is>
      </c>
      <c r="F378" s="25">
        <f>VLOOKUP(E378,Assumptions!$A$5:$B$8,2,0)</f>
        <v/>
      </c>
    </row>
    <row r="379">
      <c r="A379" t="inlineStr">
        <is>
          <t>Reconciliation</t>
        </is>
      </c>
      <c r="B379" t="inlineStr"/>
      <c r="C379" t="inlineStr">
        <is>
          <t>re_FWTransactionDSR.aspx</t>
        </is>
      </c>
      <c r="D379" t="inlineStr">
        <is>
          <t>Reconciliation/re_FWTransactionDSR.aspx</t>
        </is>
      </c>
      <c r="E379" t="inlineStr">
        <is>
          <t>Complex</t>
        </is>
      </c>
      <c r="F379" s="25">
        <f>VLOOKUP(E379,Assumptions!$A$5:$B$8,2,0)</f>
        <v/>
      </c>
    </row>
    <row r="380">
      <c r="A380" t="inlineStr">
        <is>
          <t>Reconciliation</t>
        </is>
      </c>
      <c r="B380" t="inlineStr"/>
      <c r="C380" t="inlineStr">
        <is>
          <t>re_FWTransactionDSRPassing.aspx</t>
        </is>
      </c>
      <c r="D380" t="inlineStr">
        <is>
          <t>Reconciliation/re_FWTransactionDSRPassing.aspx</t>
        </is>
      </c>
      <c r="E380" t="inlineStr">
        <is>
          <t>Complex</t>
        </is>
      </c>
      <c r="F380" s="25">
        <f>VLOOKUP(E380,Assumptions!$A$5:$B$8,2,0)</f>
        <v/>
      </c>
    </row>
    <row r="381">
      <c r="A381" t="inlineStr">
        <is>
          <t>Reconciliation</t>
        </is>
      </c>
      <c r="B381" t="inlineStr"/>
      <c r="C381" t="inlineStr">
        <is>
          <t>re_FWTransactionDaily.aspx</t>
        </is>
      </c>
      <c r="D381" t="inlineStr">
        <is>
          <t>Reconciliation/re_FWTransactionDaily.aspx</t>
        </is>
      </c>
      <c r="E381" t="inlineStr">
        <is>
          <t>Complex</t>
        </is>
      </c>
      <c r="F381" s="25">
        <f>VLOOKUP(E381,Assumptions!$A$5:$B$8,2,0)</f>
        <v/>
      </c>
    </row>
    <row r="382">
      <c r="A382" t="inlineStr">
        <is>
          <t>Reconciliation</t>
        </is>
      </c>
      <c r="B382" t="inlineStr"/>
      <c r="C382" t="inlineStr">
        <is>
          <t>re_FWTransactionDailyPassing.aspx</t>
        </is>
      </c>
      <c r="D382" t="inlineStr">
        <is>
          <t>Reconciliation/re_FWTransactionDailyPassing.aspx</t>
        </is>
      </c>
      <c r="E382" t="inlineStr">
        <is>
          <t>Complex</t>
        </is>
      </c>
      <c r="F382" s="25">
        <f>VLOOKUP(E382,Assumptions!$A$5:$B$8,2,0)</f>
        <v/>
      </c>
    </row>
    <row r="383">
      <c r="A383" t="inlineStr">
        <is>
          <t>Reconciliation</t>
        </is>
      </c>
      <c r="B383" t="inlineStr"/>
      <c r="C383" t="inlineStr">
        <is>
          <t>re_FWTransactionMonthly.aspx</t>
        </is>
      </c>
      <c r="D383" t="inlineStr">
        <is>
          <t>Reconciliation/re_FWTransactionMonthly.aspx</t>
        </is>
      </c>
      <c r="E383" t="inlineStr">
        <is>
          <t>Complex</t>
        </is>
      </c>
      <c r="F383" s="25">
        <f>VLOOKUP(E383,Assumptions!$A$5:$B$8,2,0)</f>
        <v/>
      </c>
    </row>
    <row r="384">
      <c r="A384" t="inlineStr">
        <is>
          <t>Reconciliation</t>
        </is>
      </c>
      <c r="B384" t="inlineStr"/>
      <c r="C384" t="inlineStr">
        <is>
          <t>re_FWTransactionMonthlyPassing.aspx</t>
        </is>
      </c>
      <c r="D384" t="inlineStr">
        <is>
          <t>Reconciliation/re_FWTransactionMonthlyPassing.aspx</t>
        </is>
      </c>
      <c r="E384" t="inlineStr">
        <is>
          <t>Complex</t>
        </is>
      </c>
      <c r="F384" s="25">
        <f>VLOOKUP(E384,Assumptions!$A$5:$B$8,2,0)</f>
        <v/>
      </c>
    </row>
    <row r="385">
      <c r="A385" t="inlineStr">
        <is>
          <t>Reconciliation</t>
        </is>
      </c>
      <c r="B385" t="inlineStr"/>
      <c r="C385" t="inlineStr">
        <is>
          <t>re_FWTransactionMonthlyPopUp.aspx</t>
        </is>
      </c>
      <c r="D385" t="inlineStr">
        <is>
          <t>Reconciliation/re_FWTransactionMonthlyPopUp.aspx</t>
        </is>
      </c>
      <c r="E385" t="inlineStr">
        <is>
          <t>Complex</t>
        </is>
      </c>
      <c r="F385" s="25">
        <f>VLOOKUP(E385,Assumptions!$A$5:$B$8,2,0)</f>
        <v/>
      </c>
    </row>
    <row r="386">
      <c r="A386" t="inlineStr">
        <is>
          <t>Reconciliation</t>
        </is>
      </c>
      <c r="B386" t="inlineStr"/>
      <c r="C386" t="inlineStr">
        <is>
          <t>re_FWTransactionPassing.aspx</t>
        </is>
      </c>
      <c r="D386" t="inlineStr">
        <is>
          <t>Reconciliation/re_FWTransactionPassing.aspx</t>
        </is>
      </c>
      <c r="E386" t="inlineStr">
        <is>
          <t>Complex</t>
        </is>
      </c>
      <c r="F386" s="25">
        <f>VLOOKUP(E386,Assumptions!$A$5:$B$8,2,0)</f>
        <v/>
      </c>
    </row>
    <row r="387">
      <c r="A387" t="inlineStr">
        <is>
          <t>Reconciliation</t>
        </is>
      </c>
      <c r="B387" t="inlineStr"/>
      <c r="C387" t="inlineStr">
        <is>
          <t>re_FWTransactionPopUp.aspx</t>
        </is>
      </c>
      <c r="D387" t="inlineStr">
        <is>
          <t>Reconciliation/re_FWTransactionPopUp.aspx</t>
        </is>
      </c>
      <c r="E387" t="inlineStr">
        <is>
          <t>Complex</t>
        </is>
      </c>
      <c r="F387" s="25">
        <f>VLOOKUP(E387,Assumptions!$A$5:$B$8,2,0)</f>
        <v/>
      </c>
    </row>
    <row r="388">
      <c r="A388" t="inlineStr">
        <is>
          <t>Reconciliation</t>
        </is>
      </c>
      <c r="B388" t="inlineStr"/>
      <c r="C388" t="inlineStr">
        <is>
          <t>re_LedgerEntry.aspx</t>
        </is>
      </c>
      <c r="D388" t="inlineStr">
        <is>
          <t>Reconciliation/re_LedgerEntry.aspx</t>
        </is>
      </c>
      <c r="E388" t="inlineStr">
        <is>
          <t>Complex</t>
        </is>
      </c>
      <c r="F388" s="25">
        <f>VLOOKUP(E388,Assumptions!$A$5:$B$8,2,0)</f>
        <v/>
      </c>
    </row>
    <row r="389">
      <c r="A389" t="inlineStr">
        <is>
          <t>Reconciliation</t>
        </is>
      </c>
      <c r="B389" t="inlineStr"/>
      <c r="C389" t="inlineStr">
        <is>
          <t>re_LedgerFileDataImport.aspx</t>
        </is>
      </c>
      <c r="D389" t="inlineStr">
        <is>
          <t>Reconciliation/re_LedgerFileDataImport.aspx</t>
        </is>
      </c>
      <c r="E389" t="inlineStr">
        <is>
          <t>Complex</t>
        </is>
      </c>
      <c r="F389" s="25">
        <f>VLOOKUP(E389,Assumptions!$A$5:$B$8,2,0)</f>
        <v/>
      </c>
    </row>
    <row r="390">
      <c r="A390" t="inlineStr">
        <is>
          <t>Reconciliation</t>
        </is>
      </c>
      <c r="B390" t="inlineStr"/>
      <c r="C390" t="inlineStr">
        <is>
          <t>re_MultiReconciliation.aspx</t>
        </is>
      </c>
      <c r="D390" t="inlineStr">
        <is>
          <t>Reconciliation/re_MultiReconciliation.aspx</t>
        </is>
      </c>
      <c r="E390" t="inlineStr">
        <is>
          <t>Complex</t>
        </is>
      </c>
      <c r="F390" s="25">
        <f>VLOOKUP(E390,Assumptions!$A$5:$B$8,2,0)</f>
        <v/>
      </c>
    </row>
    <row r="391">
      <c r="A391" t="inlineStr">
        <is>
          <t>Reconciliation</t>
        </is>
      </c>
      <c r="B391" t="inlineStr"/>
      <c r="C391" t="inlineStr">
        <is>
          <t>re_MultiReconciliationV1.aspx</t>
        </is>
      </c>
      <c r="D391" t="inlineStr">
        <is>
          <t>Reconciliation/re_MultiReconciliationV1.aspx</t>
        </is>
      </c>
      <c r="E391" t="inlineStr">
        <is>
          <t>Complex</t>
        </is>
      </c>
      <c r="F391" s="25">
        <f>VLOOKUP(E391,Assumptions!$A$5:$B$8,2,0)</f>
        <v/>
      </c>
    </row>
    <row r="392">
      <c r="A392" t="inlineStr">
        <is>
          <t>Reconciliation</t>
        </is>
      </c>
      <c r="B392" t="inlineStr"/>
      <c r="C392" t="inlineStr">
        <is>
          <t>re_OurLedgerImport.aspx</t>
        </is>
      </c>
      <c r="D392" t="inlineStr">
        <is>
          <t>Reconciliation/re_OurLedgerImport.aspx</t>
        </is>
      </c>
      <c r="E392" t="inlineStr">
        <is>
          <t>Complex</t>
        </is>
      </c>
      <c r="F392" s="25">
        <f>VLOOKUP(E392,Assumptions!$A$5:$B$8,2,0)</f>
        <v/>
      </c>
    </row>
    <row r="393">
      <c r="A393" t="inlineStr">
        <is>
          <t>Reconciliation</t>
        </is>
      </c>
      <c r="B393" t="inlineStr"/>
      <c r="C393" t="inlineStr">
        <is>
          <t>re_Owner.aspx</t>
        </is>
      </c>
      <c r="D393" t="inlineStr">
        <is>
          <t>Reconciliation/re_Owner.aspx</t>
        </is>
      </c>
      <c r="E393" t="inlineStr">
        <is>
          <t>Complex</t>
        </is>
      </c>
      <c r="F393" s="25">
        <f>VLOOKUP(E393,Assumptions!$A$5:$B$8,2,0)</f>
        <v/>
      </c>
    </row>
    <row r="394">
      <c r="A394" t="inlineStr">
        <is>
          <t>Reconciliation</t>
        </is>
      </c>
      <c r="B394" t="inlineStr"/>
      <c r="C394" t="inlineStr">
        <is>
          <t>re_ProcessTypeMatchCriteria.aspx</t>
        </is>
      </c>
      <c r="D394" t="inlineStr">
        <is>
          <t>Reconciliation/re_ProcessTypeMatchCriteria.aspx</t>
        </is>
      </c>
      <c r="E394" t="inlineStr">
        <is>
          <t>Complex</t>
        </is>
      </c>
      <c r="F394" s="25">
        <f>VLOOKUP(E394,Assumptions!$A$5:$B$8,2,0)</f>
        <v/>
      </c>
    </row>
    <row r="395">
      <c r="A395" t="inlineStr">
        <is>
          <t>Reconciliation</t>
        </is>
      </c>
      <c r="B395" t="inlineStr"/>
      <c r="C395" t="inlineStr">
        <is>
          <t>re_Reconciliation.aspx</t>
        </is>
      </c>
      <c r="D395" t="inlineStr">
        <is>
          <t>Reconciliation/re_Reconciliation.aspx</t>
        </is>
      </c>
      <c r="E395" t="inlineStr">
        <is>
          <t>Complex</t>
        </is>
      </c>
      <c r="F395" s="25">
        <f>VLOOKUP(E395,Assumptions!$A$5:$B$8,2,0)</f>
        <v/>
      </c>
    </row>
    <row r="396">
      <c r="A396" t="inlineStr">
        <is>
          <t>Reconciliation</t>
        </is>
      </c>
      <c r="B396" t="inlineStr"/>
      <c r="C396" t="inlineStr">
        <is>
          <t>re_ReconciliationRollBack.aspx</t>
        </is>
      </c>
      <c r="D396" t="inlineStr">
        <is>
          <t>Reconciliation/re_ReconciliationRollBack.aspx</t>
        </is>
      </c>
      <c r="E396" t="inlineStr">
        <is>
          <t>Complex</t>
        </is>
      </c>
      <c r="F396" s="25">
        <f>VLOOKUP(E396,Assumptions!$A$5:$B$8,2,0)</f>
        <v/>
      </c>
    </row>
    <row r="397">
      <c r="A397" t="inlineStr">
        <is>
          <t>Reconciliation</t>
        </is>
      </c>
      <c r="B397" t="inlineStr"/>
      <c r="C397" t="inlineStr">
        <is>
          <t>re_ReconciliationRollBackBatch.aspx</t>
        </is>
      </c>
      <c r="D397" t="inlineStr">
        <is>
          <t>Reconciliation/re_ReconciliationRollBackBatch.aspx</t>
        </is>
      </c>
      <c r="E397" t="inlineStr">
        <is>
          <t>Complex</t>
        </is>
      </c>
      <c r="F397" s="25">
        <f>VLOOKUP(E397,Assumptions!$A$5:$B$8,2,0)</f>
        <v/>
      </c>
    </row>
    <row r="398">
      <c r="A398" t="inlineStr">
        <is>
          <t>Reconciliation</t>
        </is>
      </c>
      <c r="B398" t="inlineStr"/>
      <c r="C398" t="inlineStr">
        <is>
          <t>re_ReconciliationRollBackV1.aspx</t>
        </is>
      </c>
      <c r="D398" t="inlineStr">
        <is>
          <t>Reconciliation/re_ReconciliationRollBackV1.aspx</t>
        </is>
      </c>
      <c r="E398" t="inlineStr">
        <is>
          <t>Complex</t>
        </is>
      </c>
      <c r="F398" s="25">
        <f>VLOOKUP(E398,Assumptions!$A$5:$B$8,2,0)</f>
        <v/>
      </c>
    </row>
    <row r="399">
      <c r="A399" t="inlineStr">
        <is>
          <t>Reconciliation</t>
        </is>
      </c>
      <c r="B399" t="inlineStr"/>
      <c r="C399" t="inlineStr">
        <is>
          <t>re_ReconciliationRollBackV2.aspx</t>
        </is>
      </c>
      <c r="D399" t="inlineStr">
        <is>
          <t>Reconciliation/re_ReconciliationRollBackV2.aspx</t>
        </is>
      </c>
      <c r="E399" t="inlineStr">
        <is>
          <t>Complex</t>
        </is>
      </c>
      <c r="F399" s="25">
        <f>VLOOKUP(E399,Assumptions!$A$5:$B$8,2,0)</f>
        <v/>
      </c>
    </row>
    <row r="400">
      <c r="A400" t="inlineStr">
        <is>
          <t>Reconciliation</t>
        </is>
      </c>
      <c r="B400" t="inlineStr"/>
      <c r="C400" t="inlineStr">
        <is>
          <t>re_SelfReconciliation.aspx</t>
        </is>
      </c>
      <c r="D400" t="inlineStr">
        <is>
          <t>Reconciliation/re_SelfReconciliation.aspx</t>
        </is>
      </c>
      <c r="E400" t="inlineStr">
        <is>
          <t>Complex</t>
        </is>
      </c>
      <c r="F400" s="25">
        <f>VLOOKUP(E400,Assumptions!$A$5:$B$8,2,0)</f>
        <v/>
      </c>
    </row>
    <row r="401">
      <c r="A401" t="inlineStr">
        <is>
          <t>Reconciliation</t>
        </is>
      </c>
      <c r="B401" t="inlineStr"/>
      <c r="C401" t="inlineStr">
        <is>
          <t>re_SelfReconciliationV1.aspx</t>
        </is>
      </c>
      <c r="D401" t="inlineStr">
        <is>
          <t>Reconciliation/re_SelfReconciliationV1.aspx</t>
        </is>
      </c>
      <c r="E401" t="inlineStr">
        <is>
          <t>Complex</t>
        </is>
      </c>
      <c r="F401" s="25">
        <f>VLOOKUP(E401,Assumptions!$A$5:$B$8,2,0)</f>
        <v/>
      </c>
    </row>
    <row r="402">
      <c r="A402" t="inlineStr">
        <is>
          <t>Reconciliation</t>
        </is>
      </c>
      <c r="B402" t="inlineStr"/>
      <c r="C402" t="inlineStr">
        <is>
          <t>re_SingleReconciliationRollback.aspx</t>
        </is>
      </c>
      <c r="D402" t="inlineStr">
        <is>
          <t>Reconciliation/re_SingleReconciliationRollback.aspx</t>
        </is>
      </c>
      <c r="E402" t="inlineStr">
        <is>
          <t>Complex</t>
        </is>
      </c>
      <c r="F402" s="25">
        <f>VLOOKUP(E402,Assumptions!$A$5:$B$8,2,0)</f>
        <v/>
      </c>
    </row>
    <row r="403">
      <c r="A403" t="inlineStr">
        <is>
          <t>Reconciliation</t>
        </is>
      </c>
      <c r="B403" t="inlineStr"/>
      <c r="C403" t="inlineStr">
        <is>
          <t>re_TLedgerImportDataEdit.aspx</t>
        </is>
      </c>
      <c r="D403" t="inlineStr">
        <is>
          <t>Reconciliation/re_TLedgerImportDataEdit.aspx</t>
        </is>
      </c>
      <c r="E403" t="inlineStr">
        <is>
          <t>Complex</t>
        </is>
      </c>
      <c r="F403" s="25">
        <f>VLOOKUP(E403,Assumptions!$A$5:$B$8,2,0)</f>
        <v/>
      </c>
    </row>
    <row r="404">
      <c r="A404" t="inlineStr">
        <is>
          <t>Reconciliation</t>
        </is>
      </c>
      <c r="B404" t="inlineStr"/>
      <c r="C404" t="inlineStr">
        <is>
          <t>re_TextFileConfiguration.aspx</t>
        </is>
      </c>
      <c r="D404" t="inlineStr">
        <is>
          <t>Reconciliation/re_TextFileConfiguration.aspx</t>
        </is>
      </c>
      <c r="E404" t="inlineStr">
        <is>
          <t>Complex</t>
        </is>
      </c>
      <c r="F404" s="25">
        <f>VLOOKUP(E404,Assumptions!$A$5:$B$8,2,0)</f>
        <v/>
      </c>
    </row>
    <row r="405">
      <c r="A405" t="inlineStr">
        <is>
          <t>Reconciliation</t>
        </is>
      </c>
      <c r="B405" t="inlineStr"/>
      <c r="C405" t="inlineStr">
        <is>
          <t>re_TheirLedgerExcelDataTransfer.aspx</t>
        </is>
      </c>
      <c r="D405" t="inlineStr">
        <is>
          <t>Reconciliation/re_TheirLedgerExcelDataTransfer.aspx</t>
        </is>
      </c>
      <c r="E405" t="inlineStr">
        <is>
          <t>Complex</t>
        </is>
      </c>
      <c r="F405" s="25">
        <f>VLOOKUP(E405,Assumptions!$A$5:$B$8,2,0)</f>
        <v/>
      </c>
    </row>
    <row r="406">
      <c r="A406" t="inlineStr">
        <is>
          <t>Reports</t>
        </is>
      </c>
      <c r="B406" t="inlineStr">
        <is>
          <t>Admin</t>
        </is>
      </c>
      <c r="C406" t="inlineStr">
        <is>
          <t>AdminDatalogreport.aspx</t>
        </is>
      </c>
      <c r="D406" t="inlineStr">
        <is>
          <t>Reports/Admin/AdminDatalogreport.aspx</t>
        </is>
      </c>
      <c r="E406" t="inlineStr">
        <is>
          <t>Report</t>
        </is>
      </c>
      <c r="F406" s="25">
        <f>VLOOKUP(E406,Assumptions!$A$5:$B$8,2,0)</f>
        <v/>
      </c>
    </row>
    <row r="407">
      <c r="A407" t="inlineStr">
        <is>
          <t>Reports</t>
        </is>
      </c>
      <c r="B407" t="inlineStr">
        <is>
          <t>Admin</t>
        </is>
      </c>
      <c r="C407" t="inlineStr">
        <is>
          <t>AdminReport.aspx</t>
        </is>
      </c>
      <c r="D407" t="inlineStr">
        <is>
          <t>Reports/Admin/AdminReport.aspx</t>
        </is>
      </c>
      <c r="E407" t="inlineStr">
        <is>
          <t>Report</t>
        </is>
      </c>
      <c r="F407" s="25">
        <f>VLOOKUP(E407,Assumptions!$A$5:$B$8,2,0)</f>
        <v/>
      </c>
    </row>
    <row r="408">
      <c r="A408" t="inlineStr">
        <is>
          <t>Reports</t>
        </is>
      </c>
      <c r="B408" t="inlineStr">
        <is>
          <t>Admin</t>
        </is>
      </c>
      <c r="C408" t="inlineStr">
        <is>
          <t>BankBranchLogReport.aspx</t>
        </is>
      </c>
      <c r="D408" t="inlineStr">
        <is>
          <t>Reports/Admin/BankBranchLogReport.aspx</t>
        </is>
      </c>
      <c r="E408" t="inlineStr">
        <is>
          <t>Report</t>
        </is>
      </c>
      <c r="F408" s="25">
        <f>VLOOKUP(E408,Assumptions!$A$5:$B$8,2,0)</f>
        <v/>
      </c>
    </row>
    <row r="409">
      <c r="A409" t="inlineStr">
        <is>
          <t>Reports</t>
        </is>
      </c>
      <c r="B409" t="inlineStr">
        <is>
          <t>Admin</t>
        </is>
      </c>
      <c r="C409" t="inlineStr">
        <is>
          <t>DepositSchemeLogReport.aspx</t>
        </is>
      </c>
      <c r="D409" t="inlineStr">
        <is>
          <t>Reports/Admin/DepositSchemeLogReport.aspx</t>
        </is>
      </c>
      <c r="E409" t="inlineStr">
        <is>
          <t>Report</t>
        </is>
      </c>
      <c r="F409" s="25">
        <f>VLOOKUP(E409,Assumptions!$A$5:$B$8,2,0)</f>
        <v/>
      </c>
    </row>
    <row r="410">
      <c r="A410" t="inlineStr">
        <is>
          <t>Reports</t>
        </is>
      </c>
      <c r="B410" t="inlineStr">
        <is>
          <t>Admin</t>
        </is>
      </c>
      <c r="C410" t="inlineStr">
        <is>
          <t>EmpTransferLogReport.aspx</t>
        </is>
      </c>
      <c r="D410" t="inlineStr">
        <is>
          <t>Reports/Admin/EmpTransferLogReport.aspx</t>
        </is>
      </c>
      <c r="E410" t="inlineStr">
        <is>
          <t>Report</t>
        </is>
      </c>
      <c r="F410" s="25">
        <f>VLOOKUP(E410,Assumptions!$A$5:$B$8,2,0)</f>
        <v/>
      </c>
    </row>
    <row r="411">
      <c r="A411" t="inlineStr">
        <is>
          <t>Reports</t>
        </is>
      </c>
      <c r="B411" t="inlineStr">
        <is>
          <t>Admin</t>
        </is>
      </c>
      <c r="C411" t="inlineStr">
        <is>
          <t>GLIntMappLogReport.aspx</t>
        </is>
      </c>
      <c r="D411" t="inlineStr">
        <is>
          <t>Reports/Admin/GLIntMappLogReport.aspx</t>
        </is>
      </c>
      <c r="E411" t="inlineStr">
        <is>
          <t>Report</t>
        </is>
      </c>
      <c r="F411" s="25">
        <f>VLOOKUP(E411,Assumptions!$A$5:$B$8,2,0)</f>
        <v/>
      </c>
    </row>
    <row r="412">
      <c r="A412" t="inlineStr">
        <is>
          <t>Reports</t>
        </is>
      </c>
      <c r="B412" t="inlineStr">
        <is>
          <t>Admin</t>
        </is>
      </c>
      <c r="C412" t="inlineStr">
        <is>
          <t>LoanSchemeLogReport.aspx</t>
        </is>
      </c>
      <c r="D412" t="inlineStr">
        <is>
          <t>Reports/Admin/LoanSchemeLogReport.aspx</t>
        </is>
      </c>
      <c r="E412" t="inlineStr">
        <is>
          <t>Report</t>
        </is>
      </c>
      <c r="F412" s="25">
        <f>VLOOKUP(E412,Assumptions!$A$5:$B$8,2,0)</f>
        <v/>
      </c>
    </row>
    <row r="413">
      <c r="A413" t="inlineStr">
        <is>
          <t>Reports</t>
        </is>
      </c>
      <c r="B413" t="inlineStr">
        <is>
          <t>Admin</t>
        </is>
      </c>
      <c r="C413" t="inlineStr">
        <is>
          <t>UserActivityLogReport.aspx</t>
        </is>
      </c>
      <c r="D413" t="inlineStr">
        <is>
          <t>Reports/Admin/UserActivityLogReport.aspx</t>
        </is>
      </c>
      <c r="E413" t="inlineStr">
        <is>
          <t>Report</t>
        </is>
      </c>
      <c r="F413" s="25">
        <f>VLOOKUP(E413,Assumptions!$A$5:$B$8,2,0)</f>
        <v/>
      </c>
    </row>
    <row r="414">
      <c r="A414" t="inlineStr">
        <is>
          <t>Reports</t>
        </is>
      </c>
      <c r="B414" t="inlineStr">
        <is>
          <t>Admin</t>
        </is>
      </c>
      <c r="C414" t="inlineStr">
        <is>
          <t>UserLoginTypeLogReport.aspx</t>
        </is>
      </c>
      <c r="D414" t="inlineStr">
        <is>
          <t>Reports/Admin/UserLoginTypeLogReport.aspx</t>
        </is>
      </c>
      <c r="E414" t="inlineStr">
        <is>
          <t>Report</t>
        </is>
      </c>
      <c r="F414" s="25">
        <f>VLOOKUP(E414,Assumptions!$A$5:$B$8,2,0)</f>
        <v/>
      </c>
    </row>
    <row r="415">
      <c r="A415" t="inlineStr">
        <is>
          <t>Reports</t>
        </is>
      </c>
      <c r="B415" t="inlineStr">
        <is>
          <t>Admin</t>
        </is>
      </c>
      <c r="C415" t="inlineStr">
        <is>
          <t>UserRightsLogReport.aspx</t>
        </is>
      </c>
      <c r="D415" t="inlineStr">
        <is>
          <t>Reports/Admin/UserRightsLogReport.aspx</t>
        </is>
      </c>
      <c r="E415" t="inlineStr">
        <is>
          <t>Report</t>
        </is>
      </c>
      <c r="F415" s="25">
        <f>VLOOKUP(E415,Assumptions!$A$5:$B$8,2,0)</f>
        <v/>
      </c>
    </row>
    <row r="416">
      <c r="A416" t="inlineStr">
        <is>
          <t>Reports</t>
        </is>
      </c>
      <c r="B416" t="inlineStr">
        <is>
          <t>AgriLoans</t>
        </is>
      </c>
      <c r="C416" t="inlineStr">
        <is>
          <t>AgriDisbReport.aspx</t>
        </is>
      </c>
      <c r="D416" t="inlineStr">
        <is>
          <t>Reports/AgriLoans/AgriDisbReport.aspx</t>
        </is>
      </c>
      <c r="E416" t="inlineStr">
        <is>
          <t>Report</t>
        </is>
      </c>
      <c r="F416" s="25">
        <f>VLOOKUP(E416,Assumptions!$A$5:$B$8,2,0)</f>
        <v/>
      </c>
    </row>
    <row r="417">
      <c r="A417" t="inlineStr">
        <is>
          <t>Reports</t>
        </is>
      </c>
      <c r="B417" t="inlineStr">
        <is>
          <t>AgriLoans</t>
        </is>
      </c>
      <c r="C417" t="inlineStr">
        <is>
          <t>InterestSubventionReport.aspx</t>
        </is>
      </c>
      <c r="D417" t="inlineStr">
        <is>
          <t>Reports/AgriLoans/InterestSubventionReport.aspx</t>
        </is>
      </c>
      <c r="E417" t="inlineStr">
        <is>
          <t>Report</t>
        </is>
      </c>
      <c r="F417" s="25">
        <f>VLOOKUP(E417,Assumptions!$A$5:$B$8,2,0)</f>
        <v/>
      </c>
    </row>
    <row r="418">
      <c r="A418" t="inlineStr">
        <is>
          <t>Reports</t>
        </is>
      </c>
      <c r="B418" t="inlineStr">
        <is>
          <t>AgriLoans</t>
        </is>
      </c>
      <c r="C418" t="inlineStr">
        <is>
          <t>PACSTransferReport.aspx</t>
        </is>
      </c>
      <c r="D418" t="inlineStr">
        <is>
          <t>Reports/AgriLoans/PACSTransferReport.aspx</t>
        </is>
      </c>
      <c r="E418" t="inlineStr">
        <is>
          <t>Report</t>
        </is>
      </c>
      <c r="F418" s="25">
        <f>VLOOKUP(E418,Assumptions!$A$5:$B$8,2,0)</f>
        <v/>
      </c>
    </row>
    <row r="419">
      <c r="A419" t="inlineStr">
        <is>
          <t>Reports</t>
        </is>
      </c>
      <c r="B419" t="inlineStr">
        <is>
          <t>AgriLoans</t>
        </is>
      </c>
      <c r="C419" t="inlineStr">
        <is>
          <t>PACSTransferReportDet.aspx</t>
        </is>
      </c>
      <c r="D419" t="inlineStr">
        <is>
          <t>Reports/AgriLoans/PACSTransferReportDet.aspx</t>
        </is>
      </c>
      <c r="E419" t="inlineStr">
        <is>
          <t>Report</t>
        </is>
      </c>
      <c r="F419" s="25">
        <f>VLOOKUP(E419,Assumptions!$A$5:$B$8,2,0)</f>
        <v/>
      </c>
    </row>
    <row r="420">
      <c r="A420" t="inlineStr">
        <is>
          <t>Reports</t>
        </is>
      </c>
      <c r="B420" t="inlineStr">
        <is>
          <t>CKYC</t>
        </is>
      </c>
      <c r="C420" t="inlineStr">
        <is>
          <t>CKYCReports.aspx</t>
        </is>
      </c>
      <c r="D420" t="inlineStr">
        <is>
          <t>Reports/CKYC/CKYCReports.aspx</t>
        </is>
      </c>
      <c r="E420" t="inlineStr">
        <is>
          <t>Report</t>
        </is>
      </c>
      <c r="F420" s="25">
        <f>VLOOKUP(E420,Assumptions!$A$5:$B$8,2,0)</f>
        <v/>
      </c>
    </row>
    <row r="421">
      <c r="A421" t="inlineStr">
        <is>
          <t>Reports</t>
        </is>
      </c>
      <c r="B421" t="inlineStr">
        <is>
          <t>CKYC</t>
        </is>
      </c>
      <c r="C421" t="inlineStr">
        <is>
          <t>kyc_ReportSettings.aspx</t>
        </is>
      </c>
      <c r="D421" t="inlineStr">
        <is>
          <t>Reports/CKYC/kyc_ReportSettings.aspx</t>
        </is>
      </c>
      <c r="E421" t="inlineStr">
        <is>
          <t>Report</t>
        </is>
      </c>
      <c r="F421" s="25">
        <f>VLOOKUP(E421,Assumptions!$A$5:$B$8,2,0)</f>
        <v/>
      </c>
    </row>
    <row r="422">
      <c r="A422" t="inlineStr">
        <is>
          <t>Reports</t>
        </is>
      </c>
      <c r="B422" t="inlineStr"/>
      <c r="C422" t="inlineStr">
        <is>
          <t>CrystalViewer.aspx</t>
        </is>
      </c>
      <c r="D422" t="inlineStr">
        <is>
          <t>Reports/CrystalViewer.aspx</t>
        </is>
      </c>
      <c r="E422" t="inlineStr">
        <is>
          <t>Report</t>
        </is>
      </c>
      <c r="F422" s="25">
        <f>VLOOKUP(E422,Assumptions!$A$5:$B$8,2,0)</f>
        <v/>
      </c>
    </row>
    <row r="423">
      <c r="A423" t="inlineStr">
        <is>
          <t>Reports</t>
        </is>
      </c>
      <c r="B423" t="inlineStr"/>
      <c r="C423" t="inlineStr">
        <is>
          <t>CustomizeAdHoc.aspx</t>
        </is>
      </c>
      <c r="D423" t="inlineStr">
        <is>
          <t>Reports/CustomizeAdHoc.aspx</t>
        </is>
      </c>
      <c r="E423" t="inlineStr">
        <is>
          <t>Report</t>
        </is>
      </c>
      <c r="F423" s="25">
        <f>VLOOKUP(E423,Assumptions!$A$5:$B$8,2,0)</f>
        <v/>
      </c>
    </row>
    <row r="424">
      <c r="A424" t="inlineStr">
        <is>
          <t>Reports</t>
        </is>
      </c>
      <c r="B424" t="inlineStr"/>
      <c r="C424" t="inlineStr">
        <is>
          <t>CustomizeAdHocConfig.aspx</t>
        </is>
      </c>
      <c r="D424" t="inlineStr">
        <is>
          <t>Reports/CustomizeAdHocConfig.aspx</t>
        </is>
      </c>
      <c r="E424" t="inlineStr">
        <is>
          <t>Report</t>
        </is>
      </c>
      <c r="F424" s="25">
        <f>VLOOKUP(E424,Assumptions!$A$5:$B$8,2,0)</f>
        <v/>
      </c>
    </row>
    <row r="425">
      <c r="A425" t="inlineStr">
        <is>
          <t>Reports</t>
        </is>
      </c>
      <c r="B425" t="inlineStr">
        <is>
          <t>EmployeeDemand</t>
        </is>
      </c>
      <c r="C425" t="inlineStr">
        <is>
          <t>DemandRecoveryStatementReport.aspx</t>
        </is>
      </c>
      <c r="D425" t="inlineStr">
        <is>
          <t>Reports/EmployeeDemand/DemandRecoveryStatementReport.aspx</t>
        </is>
      </c>
      <c r="E425" t="inlineStr">
        <is>
          <t>Report</t>
        </is>
      </c>
      <c r="F425" s="25">
        <f>VLOOKUP(E425,Assumptions!$A$5:$B$8,2,0)</f>
        <v/>
      </c>
    </row>
    <row r="426">
      <c r="A426" t="inlineStr">
        <is>
          <t>Reports</t>
        </is>
      </c>
      <c r="B426" t="inlineStr">
        <is>
          <t>EmployeeDemand</t>
        </is>
      </c>
      <c r="C426" t="inlineStr">
        <is>
          <t>DemandSentReceivedStatement.aspx</t>
        </is>
      </c>
      <c r="D426" t="inlineStr">
        <is>
          <t>Reports/EmployeeDemand/DemandSentReceivedStatement.aspx</t>
        </is>
      </c>
      <c r="E426" t="inlineStr">
        <is>
          <t>Report</t>
        </is>
      </c>
      <c r="F426" s="25">
        <f>VLOOKUP(E426,Assumptions!$A$5:$B$8,2,0)</f>
        <v/>
      </c>
    </row>
    <row r="427">
      <c r="A427" t="inlineStr">
        <is>
          <t>Reports</t>
        </is>
      </c>
      <c r="B427" t="inlineStr">
        <is>
          <t>EmployeeDemand</t>
        </is>
      </c>
      <c r="C427" t="inlineStr">
        <is>
          <t>EmployeeDemandDiffAmount.aspx</t>
        </is>
      </c>
      <c r="D427" t="inlineStr">
        <is>
          <t>Reports/EmployeeDemand/EmployeeDemandDiffAmount.aspx</t>
        </is>
      </c>
      <c r="E427" t="inlineStr">
        <is>
          <t>Report</t>
        </is>
      </c>
      <c r="F427" s="25">
        <f>VLOOKUP(E427,Assumptions!$A$5:$B$8,2,0)</f>
        <v/>
      </c>
    </row>
    <row r="428">
      <c r="A428" t="inlineStr">
        <is>
          <t>Reports</t>
        </is>
      </c>
      <c r="B428" t="inlineStr">
        <is>
          <t>EmployeeDemand</t>
        </is>
      </c>
      <c r="C428" t="inlineStr">
        <is>
          <t>EmployeeDemandLetter.aspx</t>
        </is>
      </c>
      <c r="D428" t="inlineStr">
        <is>
          <t>Reports/EmployeeDemand/EmployeeDemandLetter.aspx</t>
        </is>
      </c>
      <c r="E428" t="inlineStr">
        <is>
          <t>Report</t>
        </is>
      </c>
      <c r="F428" s="25">
        <f>VLOOKUP(E428,Assumptions!$A$5:$B$8,2,0)</f>
        <v/>
      </c>
    </row>
    <row r="429">
      <c r="A429" t="inlineStr">
        <is>
          <t>Reports</t>
        </is>
      </c>
      <c r="B429" t="inlineStr">
        <is>
          <t>EmployeeDemand</t>
        </is>
      </c>
      <c r="C429" t="inlineStr">
        <is>
          <t>EmployeeDemandShortTermReport.aspx</t>
        </is>
      </c>
      <c r="D429" t="inlineStr">
        <is>
          <t>Reports/EmployeeDemand/EmployeeDemandShortTermReport.aspx</t>
        </is>
      </c>
      <c r="E429" t="inlineStr">
        <is>
          <t>Report</t>
        </is>
      </c>
      <c r="F429" s="25">
        <f>VLOOKUP(E429,Assumptions!$A$5:$B$8,2,0)</f>
        <v/>
      </c>
    </row>
    <row r="430">
      <c r="A430" t="inlineStr">
        <is>
          <t>Reports</t>
        </is>
      </c>
      <c r="B430" t="inlineStr">
        <is>
          <t>EmployeeDemand</t>
        </is>
      </c>
      <c r="C430" t="inlineStr">
        <is>
          <t>EmployeeDemandTallyReport.aspx</t>
        </is>
      </c>
      <c r="D430" t="inlineStr">
        <is>
          <t>Reports/EmployeeDemand/EmployeeDemandTallyReport.aspx</t>
        </is>
      </c>
      <c r="E430" t="inlineStr">
        <is>
          <t>Report</t>
        </is>
      </c>
      <c r="F430" s="25">
        <f>VLOOKUP(E430,Assumptions!$A$5:$B$8,2,0)</f>
        <v/>
      </c>
    </row>
    <row r="431">
      <c r="A431" t="inlineStr">
        <is>
          <t>Reports</t>
        </is>
      </c>
      <c r="B431" t="inlineStr">
        <is>
          <t>EmployeeDemand</t>
        </is>
      </c>
      <c r="C431" t="inlineStr">
        <is>
          <t>EmplyeeDemandGeneration_NICBEL.aspx</t>
        </is>
      </c>
      <c r="D431" t="inlineStr">
        <is>
          <t>Reports/EmployeeDemand/EmplyeeDemandGeneration_NICBEL.aspx</t>
        </is>
      </c>
      <c r="E431" t="inlineStr">
        <is>
          <t>Report</t>
        </is>
      </c>
      <c r="F431" s="25">
        <f>VLOOKUP(E431,Assumptions!$A$5:$B$8,2,0)</f>
        <v/>
      </c>
    </row>
    <row r="432">
      <c r="A432" t="inlineStr">
        <is>
          <t>Reports</t>
        </is>
      </c>
      <c r="B432" t="inlineStr">
        <is>
          <t>EmployeeDemand</t>
        </is>
      </c>
      <c r="C432" t="inlineStr">
        <is>
          <t>EmplyeeDemandModify.aspx</t>
        </is>
      </c>
      <c r="D432" t="inlineStr">
        <is>
          <t>Reports/EmployeeDemand/EmplyeeDemandModify.aspx</t>
        </is>
      </c>
      <c r="E432" t="inlineStr">
        <is>
          <t>Report</t>
        </is>
      </c>
      <c r="F432" s="25">
        <f>VLOOKUP(E432,Assumptions!$A$5:$B$8,2,0)</f>
        <v/>
      </c>
    </row>
    <row r="433">
      <c r="A433" t="inlineStr">
        <is>
          <t>Reports</t>
        </is>
      </c>
      <c r="B433" t="inlineStr">
        <is>
          <t>EmployeeDemand</t>
        </is>
      </c>
      <c r="C433" t="inlineStr">
        <is>
          <t>LoanEligibilityCertificate.aspx</t>
        </is>
      </c>
      <c r="D433" t="inlineStr">
        <is>
          <t>Reports/EmployeeDemand/LoanEligibilityCertificate.aspx</t>
        </is>
      </c>
      <c r="E433" t="inlineStr">
        <is>
          <t>Report</t>
        </is>
      </c>
      <c r="F433" s="25">
        <f>VLOOKUP(E433,Assumptions!$A$5:$B$8,2,0)</f>
        <v/>
      </c>
    </row>
    <row r="434">
      <c r="A434" t="inlineStr">
        <is>
          <t>Reports</t>
        </is>
      </c>
      <c r="B434" t="inlineStr">
        <is>
          <t>EmployeeDemand</t>
        </is>
      </c>
      <c r="C434" t="inlineStr">
        <is>
          <t>MemberDetailsReport.aspx</t>
        </is>
      </c>
      <c r="D434" t="inlineStr">
        <is>
          <t>Reports/EmployeeDemand/MemberDetailsReport.aspx</t>
        </is>
      </c>
      <c r="E434" t="inlineStr">
        <is>
          <t>Report</t>
        </is>
      </c>
      <c r="F434" s="25">
        <f>VLOOKUP(E434,Assumptions!$A$5:$B$8,2,0)</f>
        <v/>
      </c>
    </row>
    <row r="435">
      <c r="A435" t="inlineStr">
        <is>
          <t>Reports</t>
        </is>
      </c>
      <c r="B435" t="inlineStr">
        <is>
          <t>EmployeeDemand</t>
        </is>
      </c>
      <c r="C435" t="inlineStr">
        <is>
          <t>MemberTransferDetails.aspx</t>
        </is>
      </c>
      <c r="D435" t="inlineStr">
        <is>
          <t>Reports/EmployeeDemand/MemberTransferDetails.aspx</t>
        </is>
      </c>
      <c r="E435" t="inlineStr">
        <is>
          <t>Report</t>
        </is>
      </c>
      <c r="F435" s="25">
        <f>VLOOKUP(E435,Assumptions!$A$5:$B$8,2,0)</f>
        <v/>
      </c>
    </row>
    <row r="436">
      <c r="A436" t="inlineStr">
        <is>
          <t>Reports</t>
        </is>
      </c>
      <c r="B436" t="inlineStr">
        <is>
          <t>EmployeeDemand</t>
        </is>
      </c>
      <c r="C436" t="inlineStr">
        <is>
          <t>MemberWiseConsReport.aspx</t>
        </is>
      </c>
      <c r="D436" t="inlineStr">
        <is>
          <t>Reports/EmployeeDemand/MemberWiseConsReport.aspx</t>
        </is>
      </c>
      <c r="E436" t="inlineStr">
        <is>
          <t>Report</t>
        </is>
      </c>
      <c r="F436" s="25">
        <f>VLOOKUP(E436,Assumptions!$A$5:$B$8,2,0)</f>
        <v/>
      </c>
    </row>
    <row r="437">
      <c r="A437" t="inlineStr">
        <is>
          <t>Reports</t>
        </is>
      </c>
      <c r="B437" t="inlineStr">
        <is>
          <t>EmployeeDemand</t>
        </is>
      </c>
      <c r="C437" t="inlineStr">
        <is>
          <t>MemberWiseDemandModification.aspx</t>
        </is>
      </c>
      <c r="D437" t="inlineStr">
        <is>
          <t>Reports/EmployeeDemand/MemberWiseDemandModification.aspx</t>
        </is>
      </c>
      <c r="E437" t="inlineStr">
        <is>
          <t>Report</t>
        </is>
      </c>
      <c r="F437" s="25">
        <f>VLOOKUP(E437,Assumptions!$A$5:$B$8,2,0)</f>
        <v/>
      </c>
    </row>
    <row r="438">
      <c r="A438" t="inlineStr">
        <is>
          <t>Reports</t>
        </is>
      </c>
      <c r="B438" t="inlineStr">
        <is>
          <t>EmployeeDemand</t>
        </is>
      </c>
      <c r="C438" t="inlineStr">
        <is>
          <t>MonthlyRecoveryReport.aspx</t>
        </is>
      </c>
      <c r="D438" t="inlineStr">
        <is>
          <t>Reports/EmployeeDemand/MonthlyRecoveryReport.aspx</t>
        </is>
      </c>
      <c r="E438" t="inlineStr">
        <is>
          <t>Report</t>
        </is>
      </c>
      <c r="F438" s="25">
        <f>VLOOKUP(E438,Assumptions!$A$5:$B$8,2,0)</f>
        <v/>
      </c>
    </row>
    <row r="439">
      <c r="A439" t="inlineStr">
        <is>
          <t>Reports</t>
        </is>
      </c>
      <c r="B439" t="inlineStr">
        <is>
          <t>EmployeeDemand</t>
        </is>
      </c>
      <c r="C439" t="inlineStr">
        <is>
          <t>RecoveryScheduleReport.aspx</t>
        </is>
      </c>
      <c r="D439" t="inlineStr">
        <is>
          <t>Reports/EmployeeDemand/RecoveryScheduleReport.aspx</t>
        </is>
      </c>
      <c r="E439" t="inlineStr">
        <is>
          <t>Report</t>
        </is>
      </c>
      <c r="F439" s="25">
        <f>VLOOKUP(E439,Assumptions!$A$5:$B$8,2,0)</f>
        <v/>
      </c>
    </row>
    <row r="440">
      <c r="A440" t="inlineStr">
        <is>
          <t>Reports</t>
        </is>
      </c>
      <c r="B440" t="inlineStr">
        <is>
          <t>Hr</t>
        </is>
      </c>
      <c r="C440" t="inlineStr">
        <is>
          <t>ReportOptions.aspx</t>
        </is>
      </c>
      <c r="D440" t="inlineStr">
        <is>
          <t>Reports/Hr/ReportOptions.aspx</t>
        </is>
      </c>
      <c r="E440" t="inlineStr">
        <is>
          <t>Report</t>
        </is>
      </c>
      <c r="F440" s="25">
        <f>VLOOKUP(E440,Assumptions!$A$5:$B$8,2,0)</f>
        <v/>
      </c>
    </row>
    <row r="441">
      <c r="A441" t="inlineStr">
        <is>
          <t>Reports</t>
        </is>
      </c>
      <c r="B441" t="inlineStr">
        <is>
          <t>Inventory</t>
        </is>
      </c>
      <c r="C441" t="inlineStr">
        <is>
          <t>LockerReport.aspx</t>
        </is>
      </c>
      <c r="D441" t="inlineStr">
        <is>
          <t>Reports/Inventory/Lockers/LockerReport.aspx</t>
        </is>
      </c>
      <c r="E441" t="inlineStr">
        <is>
          <t>Report</t>
        </is>
      </c>
      <c r="F441" s="25">
        <f>VLOOKUP(E441,Assumptions!$A$5:$B$8,2,0)</f>
        <v/>
      </c>
    </row>
    <row r="442">
      <c r="A442" t="inlineStr">
        <is>
          <t>Reports</t>
        </is>
      </c>
      <c r="B442" t="inlineStr">
        <is>
          <t>Lockers</t>
        </is>
      </c>
      <c r="C442" t="inlineStr">
        <is>
          <t>BrWiseUnutilisedLockerReport.aspx</t>
        </is>
      </c>
      <c r="D442" t="inlineStr">
        <is>
          <t>Reports/Lockers/BrWiseUnutilisedLockerReport.aspx</t>
        </is>
      </c>
      <c r="E442" t="inlineStr">
        <is>
          <t>Report</t>
        </is>
      </c>
      <c r="F442" s="25">
        <f>VLOOKUP(E442,Assumptions!$A$5:$B$8,2,0)</f>
        <v/>
      </c>
    </row>
    <row r="443">
      <c r="A443" t="inlineStr">
        <is>
          <t>Reports</t>
        </is>
      </c>
      <c r="B443" t="inlineStr">
        <is>
          <t>Lockers</t>
        </is>
      </c>
      <c r="C443" t="inlineStr">
        <is>
          <t>LockerReport.aspx</t>
        </is>
      </c>
      <c r="D443" t="inlineStr">
        <is>
          <t>Reports/Lockers/LockerReport.aspx</t>
        </is>
      </c>
      <c r="E443" t="inlineStr">
        <is>
          <t>Report</t>
        </is>
      </c>
      <c r="F443" s="25">
        <f>VLOOKUP(E443,Assumptions!$A$5:$B$8,2,0)</f>
        <v/>
      </c>
    </row>
    <row r="444">
      <c r="A444" t="inlineStr">
        <is>
          <t>Reports</t>
        </is>
      </c>
      <c r="B444" t="inlineStr">
        <is>
          <t>Lockers</t>
        </is>
      </c>
      <c r="C444" t="inlineStr">
        <is>
          <t>LockerWaitListReport.aspx</t>
        </is>
      </c>
      <c r="D444" t="inlineStr">
        <is>
          <t>Reports/Lockers/LockerWaitListReport.aspx</t>
        </is>
      </c>
      <c r="E444" t="inlineStr">
        <is>
          <t>Report</t>
        </is>
      </c>
      <c r="F444" s="25">
        <f>VLOOKUP(E444,Assumptions!$A$5:$B$8,2,0)</f>
        <v/>
      </c>
    </row>
    <row r="445">
      <c r="A445" t="inlineStr">
        <is>
          <t>Reports</t>
        </is>
      </c>
      <c r="B445" t="inlineStr">
        <is>
          <t>Lockers</t>
        </is>
      </c>
      <c r="C445" t="inlineStr">
        <is>
          <t>k_LockerExpiryLetter.aspx</t>
        </is>
      </c>
      <c r="D445" t="inlineStr">
        <is>
          <t>Reports/Lockers/k_LockerExpiryLetter.aspx</t>
        </is>
      </c>
      <c r="E445" t="inlineStr">
        <is>
          <t>Report</t>
        </is>
      </c>
      <c r="F445" s="25">
        <f>VLOOKUP(E445,Assumptions!$A$5:$B$8,2,0)</f>
        <v/>
      </c>
    </row>
    <row r="446">
      <c r="A446" t="inlineStr">
        <is>
          <t>Reports</t>
        </is>
      </c>
      <c r="B446" t="inlineStr"/>
      <c r="C446" t="inlineStr">
        <is>
          <t>NABARDAdHoc.aspx</t>
        </is>
      </c>
      <c r="D446" t="inlineStr">
        <is>
          <t>Reports/NABARDAdHoc.aspx</t>
        </is>
      </c>
      <c r="E446" t="inlineStr">
        <is>
          <t>Report</t>
        </is>
      </c>
      <c r="F446" s="25">
        <f>VLOOKUP(E446,Assumptions!$A$5:$B$8,2,0)</f>
        <v/>
      </c>
    </row>
    <row r="447">
      <c r="A447" t="inlineStr">
        <is>
          <t>Reports</t>
        </is>
      </c>
      <c r="B447" t="inlineStr">
        <is>
          <t>PACS</t>
        </is>
      </c>
      <c r="C447" t="inlineStr">
        <is>
          <t>x_PACSReportOptions.aspx</t>
        </is>
      </c>
      <c r="D447" t="inlineStr">
        <is>
          <t>Reports/PACS/x_PACSReportOptions.aspx</t>
        </is>
      </c>
      <c r="E447" t="inlineStr">
        <is>
          <t>Report</t>
        </is>
      </c>
      <c r="F447" s="25">
        <f>VLOOKUP(E447,Assumptions!$A$5:$B$8,2,0)</f>
        <v/>
      </c>
    </row>
    <row r="448">
      <c r="A448" t="inlineStr">
        <is>
          <t>Reports</t>
        </is>
      </c>
      <c r="B448" t="inlineStr">
        <is>
          <t>ProjectFormulation</t>
        </is>
      </c>
      <c r="C448" t="inlineStr">
        <is>
          <t>p_LoanApplicationReport.aspx</t>
        </is>
      </c>
      <c r="D448" t="inlineStr">
        <is>
          <t>Reports/ProjectFormulation/p_LoanApplicationReport.aspx</t>
        </is>
      </c>
      <c r="E448" t="inlineStr">
        <is>
          <t>Report</t>
        </is>
      </c>
      <c r="F448" s="25">
        <f>VLOOKUP(E448,Assumptions!$A$5:$B$8,2,0)</f>
        <v/>
      </c>
    </row>
    <row r="449">
      <c r="A449" t="inlineStr">
        <is>
          <t>Reports</t>
        </is>
      </c>
      <c r="B449" t="inlineStr">
        <is>
          <t>RBI Report</t>
        </is>
      </c>
      <c r="C449" t="inlineStr">
        <is>
          <t>AnnualInfReportForm61A.aspx</t>
        </is>
      </c>
      <c r="D449" t="inlineStr">
        <is>
          <t>Reports/RBI Report/AnnualInfReportForm61A.aspx</t>
        </is>
      </c>
      <c r="E449" t="inlineStr">
        <is>
          <t>Report</t>
        </is>
      </c>
      <c r="F449" s="25">
        <f>VLOOKUP(E449,Assumptions!$A$5:$B$8,2,0)</f>
        <v/>
      </c>
    </row>
    <row r="450">
      <c r="A450" t="inlineStr">
        <is>
          <t>Reports</t>
        </is>
      </c>
      <c r="B450" t="inlineStr">
        <is>
          <t>RBI Report</t>
        </is>
      </c>
      <c r="C450" t="inlineStr">
        <is>
          <t>AnnualInfReportForm61A_SFT016.aspx</t>
        </is>
      </c>
      <c r="D450" t="inlineStr">
        <is>
          <t>Reports/RBI Report/AnnualInfReportForm61A_SFT016.aspx</t>
        </is>
      </c>
      <c r="E450" t="inlineStr">
        <is>
          <t>Report</t>
        </is>
      </c>
      <c r="F450" s="25">
        <f>VLOOKUP(E450,Assumptions!$A$5:$B$8,2,0)</f>
        <v/>
      </c>
    </row>
    <row r="451">
      <c r="A451" t="inlineStr">
        <is>
          <t>Reports</t>
        </is>
      </c>
      <c r="B451" t="inlineStr">
        <is>
          <t>RBI Report</t>
        </is>
      </c>
      <c r="C451" t="inlineStr">
        <is>
          <t>AnnualInfReportForm61A_export.aspx</t>
        </is>
      </c>
      <c r="D451" t="inlineStr">
        <is>
          <t>Reports/RBI Report/AnnualInfReportForm61A_export.aspx</t>
        </is>
      </c>
      <c r="E451" t="inlineStr">
        <is>
          <t>Report</t>
        </is>
      </c>
      <c r="F451" s="25">
        <f>VLOOKUP(E451,Assumptions!$A$5:$B$8,2,0)</f>
        <v/>
      </c>
    </row>
    <row r="452">
      <c r="A452" t="inlineStr">
        <is>
          <t>Reports</t>
        </is>
      </c>
      <c r="B452" t="inlineStr">
        <is>
          <t>RBI Report</t>
        </is>
      </c>
      <c r="C452" t="inlineStr">
        <is>
          <t>CIBIL.aspx</t>
        </is>
      </c>
      <c r="D452" t="inlineStr">
        <is>
          <t>Reports/RBI Report/CIBIL.aspx</t>
        </is>
      </c>
      <c r="E452" t="inlineStr">
        <is>
          <t>Report</t>
        </is>
      </c>
      <c r="F452" s="25">
        <f>VLOOKUP(E452,Assumptions!$A$5:$B$8,2,0)</f>
        <v/>
      </c>
    </row>
    <row r="453">
      <c r="A453" t="inlineStr">
        <is>
          <t>Reports</t>
        </is>
      </c>
      <c r="B453" t="inlineStr">
        <is>
          <t>RBI Report</t>
        </is>
      </c>
      <c r="C453" t="inlineStr">
        <is>
          <t>CIBIL_AgencySegment.aspx</t>
        </is>
      </c>
      <c r="D453" t="inlineStr">
        <is>
          <t>Reports/RBI Report/CIBIL_AgencySegment.aspx</t>
        </is>
      </c>
      <c r="E453" t="inlineStr">
        <is>
          <t>Report</t>
        </is>
      </c>
      <c r="F453" s="25">
        <f>VLOOKUP(E453,Assumptions!$A$5:$B$8,2,0)</f>
        <v/>
      </c>
    </row>
    <row r="454">
      <c r="A454" t="inlineStr">
        <is>
          <t>Reports</t>
        </is>
      </c>
      <c r="B454" t="inlineStr">
        <is>
          <t>RBI Report</t>
        </is>
      </c>
      <c r="C454" t="inlineStr">
        <is>
          <t>CIBIL_BusinessIndustryTypeMapping.aspx</t>
        </is>
      </c>
      <c r="D454" t="inlineStr">
        <is>
          <t>Reports/RBI Report/CIBIL_BusinessIndustryTypeMapping.aspx</t>
        </is>
      </c>
      <c r="E454" t="inlineStr">
        <is>
          <t>Report</t>
        </is>
      </c>
      <c r="F454" s="25">
        <f>VLOOKUP(E454,Assumptions!$A$5:$B$8,2,0)</f>
        <v/>
      </c>
    </row>
    <row r="455">
      <c r="A455" t="inlineStr">
        <is>
          <t>Reports</t>
        </is>
      </c>
      <c r="B455" t="inlineStr">
        <is>
          <t>RBI Report</t>
        </is>
      </c>
      <c r="C455" t="inlineStr">
        <is>
          <t>CIBIL_CommercialRelationshipMapping.aspx</t>
        </is>
      </c>
      <c r="D455" t="inlineStr">
        <is>
          <t>Reports/RBI Report/CIBIL_CommercialRelationshipMapping.aspx</t>
        </is>
      </c>
      <c r="E455" t="inlineStr">
        <is>
          <t>Report</t>
        </is>
      </c>
      <c r="F455" s="25">
        <f>VLOOKUP(E455,Assumptions!$A$5:$B$8,2,0)</f>
        <v/>
      </c>
    </row>
    <row r="456">
      <c r="A456" t="inlineStr">
        <is>
          <t>Reports</t>
        </is>
      </c>
      <c r="B456" t="inlineStr">
        <is>
          <t>RBI Report</t>
        </is>
      </c>
      <c r="C456" t="inlineStr">
        <is>
          <t>CIBIL_ConstitutionTypeMapping.aspx</t>
        </is>
      </c>
      <c r="D456" t="inlineStr">
        <is>
          <t>Reports/RBI Report/CIBIL_ConstitutionTypeMapping.aspx</t>
        </is>
      </c>
      <c r="E456" t="inlineStr">
        <is>
          <t>Report</t>
        </is>
      </c>
      <c r="F456" s="25">
        <f>VLOOKUP(E456,Assumptions!$A$5:$B$8,2,0)</f>
        <v/>
      </c>
    </row>
    <row r="457">
      <c r="A457" t="inlineStr">
        <is>
          <t>Reports</t>
        </is>
      </c>
      <c r="B457" t="inlineStr">
        <is>
          <t>RBI Report</t>
        </is>
      </c>
      <c r="C457" t="inlineStr">
        <is>
          <t>CIBIL_JLGMicroFin.aspx</t>
        </is>
      </c>
      <c r="D457" t="inlineStr">
        <is>
          <t>Reports/RBI Report/CIBIL_JLGMicroFin.aspx</t>
        </is>
      </c>
      <c r="E457" t="inlineStr">
        <is>
          <t>Report</t>
        </is>
      </c>
      <c r="F457" s="25">
        <f>VLOOKUP(E457,Assumptions!$A$5:$B$8,2,0)</f>
        <v/>
      </c>
    </row>
    <row r="458">
      <c r="A458" t="inlineStr">
        <is>
          <t>Reports</t>
        </is>
      </c>
      <c r="B458" t="inlineStr">
        <is>
          <t>RBI Report</t>
        </is>
      </c>
      <c r="C458" t="inlineStr">
        <is>
          <t>CIBIL_ProductConfiguration.aspx</t>
        </is>
      </c>
      <c r="D458" t="inlineStr">
        <is>
          <t>Reports/RBI Report/CIBIL_ProductConfiguration.aspx</t>
        </is>
      </c>
      <c r="E458" t="inlineStr">
        <is>
          <t>Report</t>
        </is>
      </c>
      <c r="F458" s="25">
        <f>VLOOKUP(E458,Assumptions!$A$5:$B$8,2,0)</f>
        <v/>
      </c>
    </row>
    <row r="459">
      <c r="A459" t="inlineStr">
        <is>
          <t>Reports</t>
        </is>
      </c>
      <c r="B459" t="inlineStr">
        <is>
          <t>RBI Report</t>
        </is>
      </c>
      <c r="C459" t="inlineStr">
        <is>
          <t>ConsolidateReport.aspx</t>
        </is>
      </c>
      <c r="D459" t="inlineStr">
        <is>
          <t>Reports/RBI Report/ConsolidateReport.aspx</t>
        </is>
      </c>
      <c r="E459" t="inlineStr">
        <is>
          <t>Report</t>
        </is>
      </c>
      <c r="F459" s="25">
        <f>VLOOKUP(E459,Assumptions!$A$5:$B$8,2,0)</f>
        <v/>
      </c>
    </row>
    <row r="460">
      <c r="A460" t="inlineStr">
        <is>
          <t>Reports</t>
        </is>
      </c>
      <c r="B460" t="inlineStr">
        <is>
          <t>RBI Report</t>
        </is>
      </c>
      <c r="C460" t="inlineStr">
        <is>
          <t>RBIDataFilterView.aspx</t>
        </is>
      </c>
      <c r="D460" t="inlineStr">
        <is>
          <t>Reports/RBI Report/RBIDataFilterView.aspx</t>
        </is>
      </c>
      <c r="E460" t="inlineStr">
        <is>
          <t>Report</t>
        </is>
      </c>
      <c r="F460" s="25">
        <f>VLOOKUP(E460,Assumptions!$A$5:$B$8,2,0)</f>
        <v/>
      </c>
    </row>
    <row r="461">
      <c r="A461" t="inlineStr">
        <is>
          <t>Reports</t>
        </is>
      </c>
      <c r="B461" t="inlineStr">
        <is>
          <t>RBI Report</t>
        </is>
      </c>
      <c r="C461" t="inlineStr">
        <is>
          <t>RBIDataFilterView_export.aspx</t>
        </is>
      </c>
      <c r="D461" t="inlineStr">
        <is>
          <t>Reports/RBI Report/RBIDataFilterView_export.aspx</t>
        </is>
      </c>
      <c r="E461" t="inlineStr">
        <is>
          <t>Report</t>
        </is>
      </c>
      <c r="F461" s="25">
        <f>VLOOKUP(E461,Assumptions!$A$5:$B$8,2,0)</f>
        <v/>
      </c>
    </row>
    <row r="462">
      <c r="A462" t="inlineStr">
        <is>
          <t>Reports</t>
        </is>
      </c>
      <c r="B462" t="inlineStr">
        <is>
          <t>RBI Report</t>
        </is>
      </c>
      <c r="C462" t="inlineStr">
        <is>
          <t>RBIReport.aspx</t>
        </is>
      </c>
      <c r="D462" t="inlineStr">
        <is>
          <t>Reports/RBI Report/RBIReport.aspx</t>
        </is>
      </c>
      <c r="E462" t="inlineStr">
        <is>
          <t>Report</t>
        </is>
      </c>
      <c r="F462" s="25">
        <f>VLOOKUP(E462,Assumptions!$A$5:$B$8,2,0)</f>
        <v/>
      </c>
    </row>
    <row r="463">
      <c r="A463" t="inlineStr">
        <is>
          <t>Reports</t>
        </is>
      </c>
      <c r="B463" t="inlineStr">
        <is>
          <t>RBI Report</t>
        </is>
      </c>
      <c r="C463" t="inlineStr">
        <is>
          <t>RBIReportConfiguration.aspx</t>
        </is>
      </c>
      <c r="D463" t="inlineStr">
        <is>
          <t>Reports/RBI Report/RBIReportConfiguration.aspx</t>
        </is>
      </c>
      <c r="E463" t="inlineStr">
        <is>
          <t>Report</t>
        </is>
      </c>
      <c r="F463" s="25">
        <f>VLOOKUP(E463,Assumptions!$A$5:$B$8,2,0)</f>
        <v/>
      </c>
    </row>
    <row r="464">
      <c r="A464" t="inlineStr">
        <is>
          <t>Reports</t>
        </is>
      </c>
      <c r="B464" t="inlineStr">
        <is>
          <t>RBI Report</t>
        </is>
      </c>
      <c r="C464" t="inlineStr">
        <is>
          <t>rp_CRRSLRpercentage.aspx</t>
        </is>
      </c>
      <c r="D464" t="inlineStr">
        <is>
          <t>Reports/RBI Report/rp_CRRSLRpercentage.aspx</t>
        </is>
      </c>
      <c r="E464" t="inlineStr">
        <is>
          <t>Report</t>
        </is>
      </c>
      <c r="F464" s="25">
        <f>VLOOKUP(E464,Assumptions!$A$5:$B$8,2,0)</f>
        <v/>
      </c>
    </row>
    <row r="465">
      <c r="A465" t="inlineStr">
        <is>
          <t>Reports</t>
        </is>
      </c>
      <c r="B465" t="inlineStr">
        <is>
          <t>RBI Report</t>
        </is>
      </c>
      <c r="C465" t="inlineStr">
        <is>
          <t>rp_DatabankDiagnose.aspx</t>
        </is>
      </c>
      <c r="D465" t="inlineStr">
        <is>
          <t>Reports/RBI Report/rp_DatabankDiagnose.aspx</t>
        </is>
      </c>
      <c r="E465" t="inlineStr">
        <is>
          <t>Report</t>
        </is>
      </c>
      <c r="F465" s="25">
        <f>VLOOKUP(E465,Assumptions!$A$5:$B$8,2,0)</f>
        <v/>
      </c>
    </row>
    <row r="466">
      <c r="A466" t="inlineStr">
        <is>
          <t>Reports</t>
        </is>
      </c>
      <c r="B466" t="inlineStr">
        <is>
          <t>RBI Report</t>
        </is>
      </c>
      <c r="C466" t="inlineStr">
        <is>
          <t>rp_DiagnosedDifferencePopUp.aspx</t>
        </is>
      </c>
      <c r="D466" t="inlineStr">
        <is>
          <t>Reports/RBI Report/rp_DiagnosedDifferencePopUp.aspx</t>
        </is>
      </c>
      <c r="E466" t="inlineStr">
        <is>
          <t>Report</t>
        </is>
      </c>
      <c r="F466" s="25">
        <f>VLOOKUP(E466,Assumptions!$A$5:$B$8,2,0)</f>
        <v/>
      </c>
    </row>
    <row r="467">
      <c r="A467" t="inlineStr">
        <is>
          <t>Reports</t>
        </is>
      </c>
      <c r="B467" t="inlineStr">
        <is>
          <t>RBI Report</t>
        </is>
      </c>
      <c r="C467" t="inlineStr">
        <is>
          <t>rp_GroupBorrowerReport.aspx</t>
        </is>
      </c>
      <c r="D467" t="inlineStr">
        <is>
          <t>Reports/RBI Report/rp_GroupBorrowerReport.aspx</t>
        </is>
      </c>
      <c r="E467" t="inlineStr">
        <is>
          <t>Report</t>
        </is>
      </c>
      <c r="F467" s="25">
        <f>VLOOKUP(E467,Assumptions!$A$5:$B$8,2,0)</f>
        <v/>
      </c>
    </row>
    <row r="468">
      <c r="A468" t="inlineStr">
        <is>
          <t>Reports</t>
        </is>
      </c>
      <c r="B468" t="inlineStr">
        <is>
          <t>RBI Report</t>
        </is>
      </c>
      <c r="C468" t="inlineStr">
        <is>
          <t>rp_IndustryMapping.aspx</t>
        </is>
      </c>
      <c r="D468" t="inlineStr">
        <is>
          <t>Reports/RBI Report/rp_IndustryMapping.aspx</t>
        </is>
      </c>
      <c r="E468" t="inlineStr">
        <is>
          <t>Report</t>
        </is>
      </c>
      <c r="F468" s="25">
        <f>VLOOKUP(E468,Assumptions!$A$5:$B$8,2,0)</f>
        <v/>
      </c>
    </row>
    <row r="469">
      <c r="A469" t="inlineStr">
        <is>
          <t>Reports</t>
        </is>
      </c>
      <c r="B469" t="inlineStr">
        <is>
          <t>RBI Report</t>
        </is>
      </c>
      <c r="C469" t="inlineStr">
        <is>
          <t>rp_RBIConfiguration.aspx</t>
        </is>
      </c>
      <c r="D469" t="inlineStr">
        <is>
          <t>Reports/RBI Report/rp_RBIConfiguration.aspx</t>
        </is>
      </c>
      <c r="E469" t="inlineStr">
        <is>
          <t>Report</t>
        </is>
      </c>
      <c r="F469" s="25">
        <f>VLOOKUP(E469,Assumptions!$A$5:$B$8,2,0)</f>
        <v/>
      </c>
    </row>
    <row r="470">
      <c r="A470" t="inlineStr">
        <is>
          <t>Reports</t>
        </is>
      </c>
      <c r="B470" t="inlineStr">
        <is>
          <t>RBI Report</t>
        </is>
      </c>
      <c r="C470" t="inlineStr">
        <is>
          <t>rp_RBIConfigurationLog.aspx</t>
        </is>
      </c>
      <c r="D470" t="inlineStr">
        <is>
          <t>Reports/RBI Report/rp_RBIConfigurationLog.aspx</t>
        </is>
      </c>
      <c r="E470" t="inlineStr">
        <is>
          <t>Report</t>
        </is>
      </c>
      <c r="F470" s="25">
        <f>VLOOKUP(E470,Assumptions!$A$5:$B$8,2,0)</f>
        <v/>
      </c>
    </row>
    <row r="471">
      <c r="A471" t="inlineStr">
        <is>
          <t>Reports</t>
        </is>
      </c>
      <c r="B471" t="inlineStr">
        <is>
          <t>RBI Report</t>
        </is>
      </c>
      <c r="C471" t="inlineStr">
        <is>
          <t>rp_RBIOSSIntegrityData.aspx</t>
        </is>
      </c>
      <c r="D471" t="inlineStr">
        <is>
          <t>Reports/RBI Report/rp_RBIOSSIntegrityData.aspx</t>
        </is>
      </c>
      <c r="E471" t="inlineStr">
        <is>
          <t>Report</t>
        </is>
      </c>
      <c r="F471" s="25">
        <f>VLOOKUP(E471,Assumptions!$A$5:$B$8,2,0)</f>
        <v/>
      </c>
    </row>
    <row r="472">
      <c r="A472" t="inlineStr">
        <is>
          <t>Reports</t>
        </is>
      </c>
      <c r="B472" t="inlineStr">
        <is>
          <t>RBI Report</t>
        </is>
      </c>
      <c r="C472" t="inlineStr">
        <is>
          <t>rp_RBIOSSIntegrityDataExecutor.aspx</t>
        </is>
      </c>
      <c r="D472" t="inlineStr">
        <is>
          <t>Reports/RBI Report/rp_RBIOSSIntegrityDataExecutor.aspx</t>
        </is>
      </c>
      <c r="E472" t="inlineStr">
        <is>
          <t>Report</t>
        </is>
      </c>
      <c r="F472" s="25">
        <f>VLOOKUP(E472,Assumptions!$A$5:$B$8,2,0)</f>
        <v/>
      </c>
    </row>
    <row r="473">
      <c r="A473" t="inlineStr">
        <is>
          <t>Reports</t>
        </is>
      </c>
      <c r="B473" t="inlineStr">
        <is>
          <t>RBI Report</t>
        </is>
      </c>
      <c r="C473" t="inlineStr">
        <is>
          <t>rp_RBIUnbindedCOA.aspx</t>
        </is>
      </c>
      <c r="D473" t="inlineStr">
        <is>
          <t>Reports/RBI Report/rp_RBIUnbindedCOA.aspx</t>
        </is>
      </c>
      <c r="E473" t="inlineStr">
        <is>
          <t>Report</t>
        </is>
      </c>
      <c r="F473" s="25">
        <f>VLOOKUP(E473,Assumptions!$A$5:$B$8,2,0)</f>
        <v/>
      </c>
    </row>
    <row r="474">
      <c r="A474" t="inlineStr">
        <is>
          <t>Reports</t>
        </is>
      </c>
      <c r="B474" t="inlineStr">
        <is>
          <t>RBI Report</t>
        </is>
      </c>
      <c r="C474" t="inlineStr">
        <is>
          <t>rp_TargetMaster.aspx</t>
        </is>
      </c>
      <c r="D474" t="inlineStr">
        <is>
          <t>Reports/RBI Report/rp_TargetMaster.aspx</t>
        </is>
      </c>
      <c r="E474" t="inlineStr">
        <is>
          <t>Report</t>
        </is>
      </c>
      <c r="F474" s="25">
        <f>VLOOKUP(E474,Assumptions!$A$5:$B$8,2,0)</f>
        <v/>
      </c>
    </row>
    <row r="475">
      <c r="A475" t="inlineStr">
        <is>
          <t>Reports</t>
        </is>
      </c>
      <c r="B475" t="inlineStr">
        <is>
          <t>RBI Report</t>
        </is>
      </c>
      <c r="C475" t="inlineStr">
        <is>
          <t>rp_VariousRatios.aspx</t>
        </is>
      </c>
      <c r="D475" t="inlineStr">
        <is>
          <t>Reports/RBI Report/rp_VariousRatios.aspx</t>
        </is>
      </c>
      <c r="E475" t="inlineStr">
        <is>
          <t>Report</t>
        </is>
      </c>
      <c r="F475" s="25">
        <f>VLOOKUP(E475,Assumptions!$A$5:$B$8,2,0)</f>
        <v/>
      </c>
    </row>
    <row r="476">
      <c r="A476" t="inlineStr">
        <is>
          <t>Reports</t>
        </is>
      </c>
      <c r="B476" t="inlineStr"/>
      <c r="C476" t="inlineStr">
        <is>
          <t>RBIIndentAdHoc_export.aspx</t>
        </is>
      </c>
      <c r="D476" t="inlineStr">
        <is>
          <t>Reports/RBIIndentAdHoc_export.aspx</t>
        </is>
      </c>
      <c r="E476" t="inlineStr">
        <is>
          <t>Report</t>
        </is>
      </c>
      <c r="F476" s="25">
        <f>VLOOKUP(E476,Assumptions!$A$5:$B$8,2,0)</f>
        <v/>
      </c>
    </row>
    <row r="477">
      <c r="A477" t="inlineStr">
        <is>
          <t>Reports</t>
        </is>
      </c>
      <c r="B477" t="inlineStr">
        <is>
          <t>Reconciliation</t>
        </is>
      </c>
      <c r="C477" t="inlineStr">
        <is>
          <t>AgeAnalysisInterBankRec.aspx</t>
        </is>
      </c>
      <c r="D477" t="inlineStr">
        <is>
          <t>Reports/Reconciliation/AgeAnalysisInterBankRec.aspx</t>
        </is>
      </c>
      <c r="E477" t="inlineStr">
        <is>
          <t>Report</t>
        </is>
      </c>
      <c r="F477" s="25">
        <f>VLOOKUP(E477,Assumptions!$A$5:$B$8,2,0)</f>
        <v/>
      </c>
    </row>
    <row r="478">
      <c r="A478" t="inlineStr">
        <is>
          <t>Reports</t>
        </is>
      </c>
      <c r="B478" t="inlineStr">
        <is>
          <t>Reconciliation</t>
        </is>
      </c>
      <c r="C478" t="inlineStr">
        <is>
          <t>OutPutTypeReport.aspx</t>
        </is>
      </c>
      <c r="D478" t="inlineStr">
        <is>
          <t>Reports/Reconciliation/OutPutTypeReport.aspx</t>
        </is>
      </c>
      <c r="E478" t="inlineStr">
        <is>
          <t>Report</t>
        </is>
      </c>
      <c r="F478" s="25">
        <f>VLOOKUP(E478,Assumptions!$A$5:$B$8,2,0)</f>
        <v/>
      </c>
    </row>
    <row r="479">
      <c r="A479" t="inlineStr">
        <is>
          <t>Reports</t>
        </is>
      </c>
      <c r="B479" t="inlineStr">
        <is>
          <t>Reconciliation</t>
        </is>
      </c>
      <c r="C479" t="inlineStr">
        <is>
          <t>re_FWAllUnPassTransactionReport.aspx</t>
        </is>
      </c>
      <c r="D479" t="inlineStr">
        <is>
          <t>Reports/Reconciliation/re_FWAllUnPassTransactionReport.aspx</t>
        </is>
      </c>
      <c r="E479" t="inlineStr">
        <is>
          <t>Report</t>
        </is>
      </c>
      <c r="F479" s="25">
        <f>VLOOKUP(E479,Assumptions!$A$5:$B$8,2,0)</f>
        <v/>
      </c>
    </row>
    <row r="480">
      <c r="A480" t="inlineStr">
        <is>
          <t>Reports</t>
        </is>
      </c>
      <c r="B480" t="inlineStr">
        <is>
          <t>Reconciliation</t>
        </is>
      </c>
      <c r="C480" t="inlineStr">
        <is>
          <t>re_FWAtmReports.aspx</t>
        </is>
      </c>
      <c r="D480" t="inlineStr">
        <is>
          <t>Reports/Reconciliation/re_FWAtmReports.aspx</t>
        </is>
      </c>
      <c r="E480" t="inlineStr">
        <is>
          <t>Report</t>
        </is>
      </c>
      <c r="F480" s="25">
        <f>VLOOKUP(E480,Assumptions!$A$5:$B$8,2,0)</f>
        <v/>
      </c>
    </row>
    <row r="481">
      <c r="A481" t="inlineStr">
        <is>
          <t>Reports</t>
        </is>
      </c>
      <c r="B481" t="inlineStr">
        <is>
          <t>Reconciliation</t>
        </is>
      </c>
      <c r="C481" t="inlineStr">
        <is>
          <t>re_FWCbsMtiMapping.aspx</t>
        </is>
      </c>
      <c r="D481" t="inlineStr">
        <is>
          <t>Reports/Reconciliation/re_FWCbsMtiMapping.aspx</t>
        </is>
      </c>
      <c r="E481" t="inlineStr">
        <is>
          <t>Report</t>
        </is>
      </c>
      <c r="F481" s="25">
        <f>VLOOKUP(E481,Assumptions!$A$5:$B$8,2,0)</f>
        <v/>
      </c>
    </row>
    <row r="482">
      <c r="A482" t="inlineStr">
        <is>
          <t>Reports</t>
        </is>
      </c>
      <c r="B482" t="inlineStr">
        <is>
          <t>Reconciliation</t>
        </is>
      </c>
      <c r="C482" t="inlineStr">
        <is>
          <t>re_FWDSRFileReport.aspx</t>
        </is>
      </c>
      <c r="D482" t="inlineStr">
        <is>
          <t>Reports/Reconciliation/re_FWDSRFileReport.aspx</t>
        </is>
      </c>
      <c r="E482" t="inlineStr">
        <is>
          <t>Report</t>
        </is>
      </c>
      <c r="F482" s="25">
        <f>VLOOKUP(E482,Assumptions!$A$5:$B$8,2,0)</f>
        <v/>
      </c>
    </row>
    <row r="483">
      <c r="A483" t="inlineStr">
        <is>
          <t>Reports</t>
        </is>
      </c>
      <c r="B483" t="inlineStr">
        <is>
          <t>Reconciliation</t>
        </is>
      </c>
      <c r="C483" t="inlineStr">
        <is>
          <t>re_FWDSRSummaryReport.aspx</t>
        </is>
      </c>
      <c r="D483" t="inlineStr">
        <is>
          <t>Reports/Reconciliation/re_FWDSRSummaryReport.aspx</t>
        </is>
      </c>
      <c r="E483" t="inlineStr">
        <is>
          <t>Report</t>
        </is>
      </c>
      <c r="F483" s="25">
        <f>VLOOKUP(E483,Assumptions!$A$5:$B$8,2,0)</f>
        <v/>
      </c>
    </row>
    <row r="484">
      <c r="A484" t="inlineStr">
        <is>
          <t>Reports</t>
        </is>
      </c>
      <c r="B484" t="inlineStr">
        <is>
          <t>Reconciliation</t>
        </is>
      </c>
      <c r="C484" t="inlineStr">
        <is>
          <t>re_FWDailyReconciliationReport.aspx</t>
        </is>
      </c>
      <c r="D484" t="inlineStr">
        <is>
          <t>Reports/Reconciliation/re_FWDailyReconciliationReport.aspx</t>
        </is>
      </c>
      <c r="E484" t="inlineStr">
        <is>
          <t>Report</t>
        </is>
      </c>
      <c r="F484" s="25">
        <f>VLOOKUP(E484,Assumptions!$A$5:$B$8,2,0)</f>
        <v/>
      </c>
    </row>
    <row r="485">
      <c r="A485" t="inlineStr">
        <is>
          <t>Reports</t>
        </is>
      </c>
      <c r="B485" t="inlineStr">
        <is>
          <t>Reconciliation</t>
        </is>
      </c>
      <c r="C485" t="inlineStr">
        <is>
          <t>re_FWDisputeTransactionReport.aspx</t>
        </is>
      </c>
      <c r="D485" t="inlineStr">
        <is>
          <t>Reports/Reconciliation/re_FWDisputeTransactionReport.aspx</t>
        </is>
      </c>
      <c r="E485" t="inlineStr">
        <is>
          <t>Report</t>
        </is>
      </c>
      <c r="F485" s="25">
        <f>VLOOKUP(E485,Assumptions!$A$5:$B$8,2,0)</f>
        <v/>
      </c>
    </row>
    <row r="486">
      <c r="A486" t="inlineStr">
        <is>
          <t>Reports</t>
        </is>
      </c>
      <c r="B486" t="inlineStr">
        <is>
          <t>Reconciliation</t>
        </is>
      </c>
      <c r="C486" t="inlineStr">
        <is>
          <t>re_FWFilterReconData.aspx</t>
        </is>
      </c>
      <c r="D486" t="inlineStr">
        <is>
          <t>Reports/Reconciliation/re_FWFilterReconData.aspx</t>
        </is>
      </c>
      <c r="E486" t="inlineStr">
        <is>
          <t>Report</t>
        </is>
      </c>
      <c r="F486" s="25">
        <f>VLOOKUP(E486,Assumptions!$A$5:$B$8,2,0)</f>
        <v/>
      </c>
    </row>
    <row r="487">
      <c r="A487" t="inlineStr">
        <is>
          <t>Reports</t>
        </is>
      </c>
      <c r="B487" t="inlineStr">
        <is>
          <t>Reconciliation</t>
        </is>
      </c>
      <c r="C487" t="inlineStr">
        <is>
          <t>re_FWForceReconcileTransactionReport.aspx</t>
        </is>
      </c>
      <c r="D487" t="inlineStr">
        <is>
          <t>Reports/Reconciliation/re_FWForceReconcileTransactionReport.aspx</t>
        </is>
      </c>
      <c r="E487" t="inlineStr">
        <is>
          <t>Report</t>
        </is>
      </c>
      <c r="F487" s="25">
        <f>VLOOKUP(E487,Assumptions!$A$5:$B$8,2,0)</f>
        <v/>
      </c>
    </row>
    <row r="488">
      <c r="A488" t="inlineStr">
        <is>
          <t>Reports</t>
        </is>
      </c>
      <c r="B488" t="inlineStr">
        <is>
          <t>Reconciliation</t>
        </is>
      </c>
      <c r="C488" t="inlineStr">
        <is>
          <t>re_FWGetSettlementCommissionReport.aspx</t>
        </is>
      </c>
      <c r="D488" t="inlineStr">
        <is>
          <t>Reports/Reconciliation/re_FWGetSettlementCommissionReport.aspx</t>
        </is>
      </c>
      <c r="E488" t="inlineStr">
        <is>
          <t>Report</t>
        </is>
      </c>
      <c r="F488" s="25">
        <f>VLOOKUP(E488,Assumptions!$A$5:$B$8,2,0)</f>
        <v/>
      </c>
    </row>
    <row r="489">
      <c r="A489" t="inlineStr">
        <is>
          <t>Reports</t>
        </is>
      </c>
      <c r="B489" t="inlineStr">
        <is>
          <t>Reconciliation</t>
        </is>
      </c>
      <c r="C489" t="inlineStr">
        <is>
          <t>re_FWImportSettlementReport.aspx</t>
        </is>
      </c>
      <c r="D489" t="inlineStr">
        <is>
          <t>Reports/Reconciliation/re_FWImportSettlementReport.aspx</t>
        </is>
      </c>
      <c r="E489" t="inlineStr">
        <is>
          <t>Report</t>
        </is>
      </c>
      <c r="F489" s="25">
        <f>VLOOKUP(E489,Assumptions!$A$5:$B$8,2,0)</f>
        <v/>
      </c>
    </row>
    <row r="490">
      <c r="A490" t="inlineStr">
        <is>
          <t>Reports</t>
        </is>
      </c>
      <c r="B490" t="inlineStr">
        <is>
          <t>Reconciliation</t>
        </is>
      </c>
      <c r="C490" t="inlineStr">
        <is>
          <t>re_FWLedgerReport.aspx</t>
        </is>
      </c>
      <c r="D490" t="inlineStr">
        <is>
          <t>Reports/Reconciliation/re_FWLedgerReport.aspx</t>
        </is>
      </c>
      <c r="E490" t="inlineStr">
        <is>
          <t>Report</t>
        </is>
      </c>
      <c r="F490" s="25">
        <f>VLOOKUP(E490,Assumptions!$A$5:$B$8,2,0)</f>
        <v/>
      </c>
    </row>
    <row r="491">
      <c r="A491" t="inlineStr">
        <is>
          <t>Reports</t>
        </is>
      </c>
      <c r="B491" t="inlineStr">
        <is>
          <t>Reconciliation</t>
        </is>
      </c>
      <c r="C491" t="inlineStr">
        <is>
          <t>re_FWNPCI_CBS_EntryStatusReport.aspx</t>
        </is>
      </c>
      <c r="D491" t="inlineStr">
        <is>
          <t>Reports/Reconciliation/re_FWNPCI_CBS_EntryStatusReport.aspx</t>
        </is>
      </c>
      <c r="E491" t="inlineStr">
        <is>
          <t>Report</t>
        </is>
      </c>
      <c r="F491" s="25">
        <f>VLOOKUP(E491,Assumptions!$A$5:$B$8,2,0)</f>
        <v/>
      </c>
    </row>
    <row r="492">
      <c r="A492" t="inlineStr">
        <is>
          <t>Reports</t>
        </is>
      </c>
      <c r="B492" t="inlineStr">
        <is>
          <t>Reconciliation</t>
        </is>
      </c>
      <c r="C492" t="inlineStr">
        <is>
          <t>re_FWNPCI_CBS_StatusReport.aspx</t>
        </is>
      </c>
      <c r="D492" t="inlineStr">
        <is>
          <t>Reports/Reconciliation/re_FWNPCI_CBS_StatusReport.aspx</t>
        </is>
      </c>
      <c r="E492" t="inlineStr">
        <is>
          <t>Report</t>
        </is>
      </c>
      <c r="F492" s="25">
        <f>VLOOKUP(E492,Assumptions!$A$5:$B$8,2,0)</f>
        <v/>
      </c>
    </row>
    <row r="493">
      <c r="A493" t="inlineStr">
        <is>
          <t>Reports</t>
        </is>
      </c>
      <c r="B493" t="inlineStr">
        <is>
          <t>Reconciliation</t>
        </is>
      </c>
      <c r="C493" t="inlineStr">
        <is>
          <t>re_FWReconSummaryReport.aspx</t>
        </is>
      </c>
      <c r="D493" t="inlineStr">
        <is>
          <t>Reports/Reconciliation/re_FWReconSummaryReport.aspx</t>
        </is>
      </c>
      <c r="E493" t="inlineStr">
        <is>
          <t>Report</t>
        </is>
      </c>
      <c r="F493" s="25">
        <f>VLOOKUP(E493,Assumptions!$A$5:$B$8,2,0)</f>
        <v/>
      </c>
    </row>
    <row r="494">
      <c r="A494" t="inlineStr">
        <is>
          <t>Reports</t>
        </is>
      </c>
      <c r="B494" t="inlineStr">
        <is>
          <t>Reconciliation</t>
        </is>
      </c>
      <c r="C494" t="inlineStr">
        <is>
          <t>re_FWReconcileTransactionPopUp.aspx</t>
        </is>
      </c>
      <c r="D494" t="inlineStr">
        <is>
          <t>Reports/Reconciliation/re_FWReconcileTransactionPopUp.aspx</t>
        </is>
      </c>
      <c r="E494" t="inlineStr">
        <is>
          <t>Report</t>
        </is>
      </c>
      <c r="F494" s="25">
        <f>VLOOKUP(E494,Assumptions!$A$5:$B$8,2,0)</f>
        <v/>
      </c>
    </row>
    <row r="495">
      <c r="A495" t="inlineStr">
        <is>
          <t>Reports</t>
        </is>
      </c>
      <c r="B495" t="inlineStr">
        <is>
          <t>Reconciliation</t>
        </is>
      </c>
      <c r="C495" t="inlineStr">
        <is>
          <t>re_FWReconcileTransactionReport.aspx</t>
        </is>
      </c>
      <c r="D495" t="inlineStr">
        <is>
          <t>Reports/Reconciliation/re_FWReconcileTransactionReport.aspx</t>
        </is>
      </c>
      <c r="E495" t="inlineStr">
        <is>
          <t>Report</t>
        </is>
      </c>
      <c r="F495" s="25">
        <f>VLOOKUP(E495,Assumptions!$A$5:$B$8,2,0)</f>
        <v/>
      </c>
    </row>
    <row r="496">
      <c r="A496" t="inlineStr">
        <is>
          <t>Reports</t>
        </is>
      </c>
      <c r="B496" t="inlineStr">
        <is>
          <t>Reconciliation</t>
        </is>
      </c>
      <c r="C496" t="inlineStr">
        <is>
          <t>re_FWReconciliationDashboard.aspx</t>
        </is>
      </c>
      <c r="D496" t="inlineStr">
        <is>
          <t>Reports/Reconciliation/re_FWReconciliationDashboard.aspx</t>
        </is>
      </c>
      <c r="E496" t="inlineStr">
        <is>
          <t>Report</t>
        </is>
      </c>
      <c r="F496" s="25">
        <f>VLOOKUP(E496,Assumptions!$A$5:$B$8,2,0)</f>
        <v/>
      </c>
    </row>
    <row r="497">
      <c r="A497" t="inlineStr">
        <is>
          <t>Reports</t>
        </is>
      </c>
      <c r="B497" t="inlineStr">
        <is>
          <t>Reconciliation</t>
        </is>
      </c>
      <c r="C497" t="inlineStr">
        <is>
          <t>re_FWReconciliationDashboardPopUp.aspx</t>
        </is>
      </c>
      <c r="D497" t="inlineStr">
        <is>
          <t>Reports/Reconciliation/re_FWReconciliationDashboardPopUp.aspx</t>
        </is>
      </c>
      <c r="E497" t="inlineStr">
        <is>
          <t>Report</t>
        </is>
      </c>
      <c r="F497" s="25">
        <f>VLOOKUP(E497,Assumptions!$A$5:$B$8,2,0)</f>
        <v/>
      </c>
    </row>
    <row r="498">
      <c r="A498" t="inlineStr">
        <is>
          <t>Reports</t>
        </is>
      </c>
      <c r="B498" t="inlineStr">
        <is>
          <t>Reconciliation</t>
        </is>
      </c>
      <c r="C498" t="inlineStr">
        <is>
          <t>re_FWSettlementAccountLedgerReport.aspx</t>
        </is>
      </c>
      <c r="D498" t="inlineStr">
        <is>
          <t>Reports/Reconciliation/re_FWSettlementAccountLedgerReport.aspx</t>
        </is>
      </c>
      <c r="E498" t="inlineStr">
        <is>
          <t>Report</t>
        </is>
      </c>
      <c r="F498" s="25">
        <f>VLOOKUP(E498,Assumptions!$A$5:$B$8,2,0)</f>
        <v/>
      </c>
    </row>
    <row r="499">
      <c r="A499" t="inlineStr">
        <is>
          <t>Reports</t>
        </is>
      </c>
      <c r="B499" t="inlineStr">
        <is>
          <t>Reconciliation</t>
        </is>
      </c>
      <c r="C499" t="inlineStr">
        <is>
          <t>re_FWSettlementReport.aspx</t>
        </is>
      </c>
      <c r="D499" t="inlineStr">
        <is>
          <t>Reports/Reconciliation/re_FWSettlementReport.aspx</t>
        </is>
      </c>
      <c r="E499" t="inlineStr">
        <is>
          <t>Report</t>
        </is>
      </c>
      <c r="F499" s="25">
        <f>VLOOKUP(E499,Assumptions!$A$5:$B$8,2,0)</f>
        <v/>
      </c>
    </row>
    <row r="500">
      <c r="A500" t="inlineStr">
        <is>
          <t>Reports</t>
        </is>
      </c>
      <c r="B500" t="inlineStr">
        <is>
          <t>Reconciliation</t>
        </is>
      </c>
      <c r="C500" t="inlineStr">
        <is>
          <t>re_FWSettlementSummaryComparisionReport.aspx</t>
        </is>
      </c>
      <c r="D500" t="inlineStr">
        <is>
          <t>Reports/Reconciliation/re_FWSettlementSummaryComparisionReport.aspx</t>
        </is>
      </c>
      <c r="E500" t="inlineStr">
        <is>
          <t>Report</t>
        </is>
      </c>
      <c r="F500" s="25">
        <f>VLOOKUP(E500,Assumptions!$A$5:$B$8,2,0)</f>
        <v/>
      </c>
    </row>
    <row r="501">
      <c r="A501" t="inlineStr">
        <is>
          <t>Reports</t>
        </is>
      </c>
      <c r="B501" t="inlineStr">
        <is>
          <t>Reconciliation</t>
        </is>
      </c>
      <c r="C501" t="inlineStr">
        <is>
          <t>re_FWSettlementSummaryReport.aspx</t>
        </is>
      </c>
      <c r="D501" t="inlineStr">
        <is>
          <t>Reports/Reconciliation/re_FWSettlementSummaryReport.aspx</t>
        </is>
      </c>
      <c r="E501" t="inlineStr">
        <is>
          <t>Report</t>
        </is>
      </c>
      <c r="F501" s="25">
        <f>VLOOKUP(E501,Assumptions!$A$5:$B$8,2,0)</f>
        <v/>
      </c>
    </row>
    <row r="502">
      <c r="A502" t="inlineStr">
        <is>
          <t>Reports</t>
        </is>
      </c>
      <c r="B502" t="inlineStr">
        <is>
          <t>Reconciliation</t>
        </is>
      </c>
      <c r="C502" t="inlineStr">
        <is>
          <t>re_FWTransactionDSRPassUnpassReport.aspx</t>
        </is>
      </c>
      <c r="D502" t="inlineStr">
        <is>
          <t>Reports/Reconciliation/re_FWTransactionDSRPassUnpassReport.aspx</t>
        </is>
      </c>
      <c r="E502" t="inlineStr">
        <is>
          <t>Report</t>
        </is>
      </c>
      <c r="F502" s="25">
        <f>VLOOKUP(E502,Assumptions!$A$5:$B$8,2,0)</f>
        <v/>
      </c>
    </row>
    <row r="503">
      <c r="A503" t="inlineStr">
        <is>
          <t>Reports</t>
        </is>
      </c>
      <c r="B503" t="inlineStr">
        <is>
          <t>Reconciliation</t>
        </is>
      </c>
      <c r="C503" t="inlineStr">
        <is>
          <t>re_FWTransactionPassReport.aspx</t>
        </is>
      </c>
      <c r="D503" t="inlineStr">
        <is>
          <t>Reports/Reconciliation/re_FWTransactionPassReport.aspx</t>
        </is>
      </c>
      <c r="E503" t="inlineStr">
        <is>
          <t>Report</t>
        </is>
      </c>
      <c r="F503" s="25">
        <f>VLOOKUP(E503,Assumptions!$A$5:$B$8,2,0)</f>
        <v/>
      </c>
    </row>
    <row r="504">
      <c r="A504" t="inlineStr">
        <is>
          <t>Reports</t>
        </is>
      </c>
      <c r="B504" t="inlineStr">
        <is>
          <t>Reconciliation</t>
        </is>
      </c>
      <c r="C504" t="inlineStr">
        <is>
          <t>re_FWTransactionPassReportDaily.aspx</t>
        </is>
      </c>
      <c r="D504" t="inlineStr">
        <is>
          <t>Reports/Reconciliation/re_FWTransactionPassReportDaily.aspx</t>
        </is>
      </c>
      <c r="E504" t="inlineStr">
        <is>
          <t>Report</t>
        </is>
      </c>
      <c r="F504" s="25">
        <f>VLOOKUP(E504,Assumptions!$A$5:$B$8,2,0)</f>
        <v/>
      </c>
    </row>
    <row r="505">
      <c r="A505" t="inlineStr">
        <is>
          <t>Reports</t>
        </is>
      </c>
      <c r="B505" t="inlineStr">
        <is>
          <t>Reconciliation</t>
        </is>
      </c>
      <c r="C505" t="inlineStr">
        <is>
          <t>re_FWTransactionPassReportMonthly.aspx</t>
        </is>
      </c>
      <c r="D505" t="inlineStr">
        <is>
          <t>Reports/Reconciliation/re_FWTransactionPassReportMonthly.aspx</t>
        </is>
      </c>
      <c r="E505" t="inlineStr">
        <is>
          <t>Report</t>
        </is>
      </c>
      <c r="F505" s="25">
        <f>VLOOKUP(E505,Assumptions!$A$5:$B$8,2,0)</f>
        <v/>
      </c>
    </row>
    <row r="506">
      <c r="A506" t="inlineStr">
        <is>
          <t>Reports</t>
        </is>
      </c>
      <c r="B506" t="inlineStr">
        <is>
          <t>Reconciliation</t>
        </is>
      </c>
      <c r="C506" t="inlineStr">
        <is>
          <t>re_FWTrustBankSettelmentSummaryReport.aspx</t>
        </is>
      </c>
      <c r="D506" t="inlineStr">
        <is>
          <t>Reports/Reconciliation/re_FWTrustBankSettelmentSummaryReport.aspx</t>
        </is>
      </c>
      <c r="E506" t="inlineStr">
        <is>
          <t>Report</t>
        </is>
      </c>
      <c r="F506" s="25">
        <f>VLOOKUP(E506,Assumptions!$A$5:$B$8,2,0)</f>
        <v/>
      </c>
    </row>
    <row r="507">
      <c r="A507" t="inlineStr">
        <is>
          <t>Reports</t>
        </is>
      </c>
      <c r="B507" t="inlineStr">
        <is>
          <t>Reconciliation</t>
        </is>
      </c>
      <c r="C507" t="inlineStr">
        <is>
          <t>re_FWUnReconcileTransactionReport.aspx</t>
        </is>
      </c>
      <c r="D507" t="inlineStr">
        <is>
          <t>Reports/Reconciliation/re_FWUnReconcileTransactionReport.aspx</t>
        </is>
      </c>
      <c r="E507" t="inlineStr">
        <is>
          <t>Report</t>
        </is>
      </c>
      <c r="F507" s="25">
        <f>VLOOKUP(E507,Assumptions!$A$5:$B$8,2,0)</f>
        <v/>
      </c>
    </row>
    <row r="508">
      <c r="A508" t="inlineStr">
        <is>
          <t>Reports</t>
        </is>
      </c>
      <c r="B508" t="inlineStr">
        <is>
          <t>Reconciliation</t>
        </is>
      </c>
      <c r="C508" t="inlineStr">
        <is>
          <t>re_FwDayBatchReport.aspx</t>
        </is>
      </c>
      <c r="D508" t="inlineStr">
        <is>
          <t>Reports/Reconciliation/re_FwDayBatchReport.aspx</t>
        </is>
      </c>
      <c r="E508" t="inlineStr">
        <is>
          <t>Report</t>
        </is>
      </c>
      <c r="F508" s="25">
        <f>VLOOKUP(E508,Assumptions!$A$5:$B$8,2,0)</f>
        <v/>
      </c>
    </row>
    <row r="509">
      <c r="A509" t="inlineStr">
        <is>
          <t>Reports</t>
        </is>
      </c>
      <c r="B509" t="inlineStr">
        <is>
          <t>Reconciliation</t>
        </is>
      </c>
      <c r="C509" t="inlineStr">
        <is>
          <t>re_LedgerReport.aspx</t>
        </is>
      </c>
      <c r="D509" t="inlineStr">
        <is>
          <t>Reports/Reconciliation/re_LedgerReport.aspx</t>
        </is>
      </c>
      <c r="E509" t="inlineStr">
        <is>
          <t>Report</t>
        </is>
      </c>
      <c r="F509" s="25">
        <f>VLOOKUP(E509,Assumptions!$A$5:$B$8,2,0)</f>
        <v/>
      </c>
    </row>
    <row r="510">
      <c r="A510" t="inlineStr">
        <is>
          <t>Reports</t>
        </is>
      </c>
      <c r="B510" t="inlineStr">
        <is>
          <t>Reconciliation</t>
        </is>
      </c>
      <c r="C510" t="inlineStr">
        <is>
          <t>re_OutPutTypeSummaryReport.aspx</t>
        </is>
      </c>
      <c r="D510" t="inlineStr">
        <is>
          <t>Reports/Reconciliation/re_OutPutTypeSummaryReport.aspx</t>
        </is>
      </c>
      <c r="E510" t="inlineStr">
        <is>
          <t>Report</t>
        </is>
      </c>
      <c r="F510" s="25">
        <f>VLOOKUP(E510,Assumptions!$A$5:$B$8,2,0)</f>
        <v/>
      </c>
    </row>
    <row r="511">
      <c r="A511" t="inlineStr">
        <is>
          <t>Reports</t>
        </is>
      </c>
      <c r="B511" t="inlineStr">
        <is>
          <t>Reconciliation</t>
        </is>
      </c>
      <c r="C511" t="inlineStr">
        <is>
          <t>re_ProcessTypeReport.aspx</t>
        </is>
      </c>
      <c r="D511" t="inlineStr">
        <is>
          <t>Reports/Reconciliation/re_ProcessTypeReport.aspx</t>
        </is>
      </c>
      <c r="E511" t="inlineStr">
        <is>
          <t>Report</t>
        </is>
      </c>
      <c r="F511" s="25">
        <f>VLOOKUP(E511,Assumptions!$A$5:$B$8,2,0)</f>
        <v/>
      </c>
    </row>
    <row r="512">
      <c r="A512" t="inlineStr">
        <is>
          <t>Reports</t>
        </is>
      </c>
      <c r="B512" t="inlineStr">
        <is>
          <t>Reconciliation</t>
        </is>
      </c>
      <c r="C512" t="inlineStr">
        <is>
          <t>re_UnRecInterBankAdjConsReport.aspx</t>
        </is>
      </c>
      <c r="D512" t="inlineStr">
        <is>
          <t>Reports/Reconciliation/re_UnRecInterBankAdjConsReport.aspx</t>
        </is>
      </c>
      <c r="E512" t="inlineStr">
        <is>
          <t>Report</t>
        </is>
      </c>
      <c r="F512" s="25">
        <f>VLOOKUP(E512,Assumptions!$A$5:$B$8,2,0)</f>
        <v/>
      </c>
    </row>
    <row r="513">
      <c r="A513" t="inlineStr">
        <is>
          <t>Reports</t>
        </is>
      </c>
      <c r="B513" t="inlineStr">
        <is>
          <t>Reconciliation</t>
        </is>
      </c>
      <c r="C513" t="inlineStr">
        <is>
          <t>re_UnRecInterBrAdjEntrReport.aspx</t>
        </is>
      </c>
      <c r="D513" t="inlineStr">
        <is>
          <t>Reports/Reconciliation/re_UnRecInterBrAdjEntrReport.aspx</t>
        </is>
      </c>
      <c r="E513" t="inlineStr">
        <is>
          <t>Report</t>
        </is>
      </c>
      <c r="F513" s="25">
        <f>VLOOKUP(E513,Assumptions!$A$5:$B$8,2,0)</f>
        <v/>
      </c>
    </row>
    <row r="514">
      <c r="A514" t="inlineStr">
        <is>
          <t>Reports</t>
        </is>
      </c>
      <c r="B514" t="inlineStr"/>
      <c r="C514" t="inlineStr">
        <is>
          <t>ReportSelector.aspx</t>
        </is>
      </c>
      <c r="D514" t="inlineStr">
        <is>
          <t>Reports/ReportSelector.aspx</t>
        </is>
      </c>
      <c r="E514" t="inlineStr">
        <is>
          <t>Report</t>
        </is>
      </c>
      <c r="F514" s="25">
        <f>VLOOKUP(E514,Assumptions!$A$5:$B$8,2,0)</f>
        <v/>
      </c>
    </row>
    <row r="515">
      <c r="A515" t="inlineStr">
        <is>
          <t>Reports</t>
        </is>
      </c>
      <c r="B515" t="inlineStr"/>
      <c r="C515" t="inlineStr">
        <is>
          <t>ReportsSourceHandler.aspx</t>
        </is>
      </c>
      <c r="D515" t="inlineStr">
        <is>
          <t>Reports/ReportsSourceHandler.aspx</t>
        </is>
      </c>
      <c r="E515" t="inlineStr">
        <is>
          <t>Report</t>
        </is>
      </c>
      <c r="F515" s="25">
        <f>VLOOKUP(E515,Assumptions!$A$5:$B$8,2,0)</f>
        <v/>
      </c>
    </row>
    <row r="516">
      <c r="A516" t="inlineStr">
        <is>
          <t>Reports</t>
        </is>
      </c>
      <c r="B516" t="inlineStr"/>
      <c r="C516" t="inlineStr">
        <is>
          <t>ReportsTargetHandler.aspx</t>
        </is>
      </c>
      <c r="D516" t="inlineStr">
        <is>
          <t>Reports/ReportsTargetHandler.aspx</t>
        </is>
      </c>
      <c r="E516" t="inlineStr">
        <is>
          <t>Report</t>
        </is>
      </c>
      <c r="F516" s="25">
        <f>VLOOKUP(E516,Assumptions!$A$5:$B$8,2,0)</f>
        <v/>
      </c>
    </row>
    <row r="517">
      <c r="A517" t="inlineStr">
        <is>
          <t>Reports</t>
        </is>
      </c>
      <c r="B517" t="inlineStr">
        <is>
          <t>RetailBanking</t>
        </is>
      </c>
      <c r="C517" t="inlineStr">
        <is>
          <t>206ABCCAReport.aspx</t>
        </is>
      </c>
      <c r="D517" t="inlineStr">
        <is>
          <t>Reports/RetailBanking/206ABCCAReport.aspx</t>
        </is>
      </c>
      <c r="E517" t="inlineStr">
        <is>
          <t>Report</t>
        </is>
      </c>
      <c r="F517" s="25">
        <f>VLOOKUP(E517,Assumptions!$A$5:$B$8,2,0)</f>
        <v/>
      </c>
    </row>
    <row r="518">
      <c r="A518" t="inlineStr">
        <is>
          <t>Reports</t>
        </is>
      </c>
      <c r="B518" t="inlineStr">
        <is>
          <t>RetailBanking</t>
        </is>
      </c>
      <c r="C518" t="inlineStr">
        <is>
          <t>ABCDReport.aspx</t>
        </is>
      </c>
      <c r="D518" t="inlineStr">
        <is>
          <t>Reports/RetailBanking/ABCDReport.aspx</t>
        </is>
      </c>
      <c r="E518" t="inlineStr">
        <is>
          <t>Report</t>
        </is>
      </c>
      <c r="F518" s="25">
        <f>VLOOKUP(E518,Assumptions!$A$5:$B$8,2,0)</f>
        <v/>
      </c>
    </row>
    <row r="519">
      <c r="A519" t="inlineStr">
        <is>
          <t>Reports</t>
        </is>
      </c>
      <c r="B519" t="inlineStr">
        <is>
          <t>RetailBanking</t>
        </is>
      </c>
      <c r="C519" t="inlineStr">
        <is>
          <t>AMLAccountWiseCriteria.aspx</t>
        </is>
      </c>
      <c r="D519" t="inlineStr">
        <is>
          <t>Reports/RetailBanking/AML/AMLAccountWiseCriteria.aspx</t>
        </is>
      </c>
      <c r="E519" t="inlineStr">
        <is>
          <t>Report</t>
        </is>
      </c>
      <c r="F519" s="25">
        <f>VLOOKUP(E519,Assumptions!$A$5:$B$8,2,0)</f>
        <v/>
      </c>
    </row>
    <row r="520">
      <c r="A520" t="inlineStr">
        <is>
          <t>Reports</t>
        </is>
      </c>
      <c r="B520" t="inlineStr">
        <is>
          <t>RetailBanking</t>
        </is>
      </c>
      <c r="C520" t="inlineStr">
        <is>
          <t>AMLClientWhiteListAdd.aspx</t>
        </is>
      </c>
      <c r="D520" t="inlineStr">
        <is>
          <t>Reports/RetailBanking/AML/AMLClientWhiteListAdd.aspx</t>
        </is>
      </c>
      <c r="E520" t="inlineStr">
        <is>
          <t>Report</t>
        </is>
      </c>
      <c r="F520" s="25">
        <f>VLOOKUP(E520,Assumptions!$A$5:$B$8,2,0)</f>
        <v/>
      </c>
    </row>
    <row r="521">
      <c r="A521" t="inlineStr">
        <is>
          <t>Reports</t>
        </is>
      </c>
      <c r="B521" t="inlineStr">
        <is>
          <t>RetailBanking</t>
        </is>
      </c>
      <c r="C521" t="inlineStr">
        <is>
          <t>AMLClientWhiteListPass.aspx</t>
        </is>
      </c>
      <c r="D521" t="inlineStr">
        <is>
          <t>Reports/RetailBanking/AML/AMLClientWhiteListPass.aspx</t>
        </is>
      </c>
      <c r="E521" t="inlineStr">
        <is>
          <t>Report</t>
        </is>
      </c>
      <c r="F521" s="25">
        <f>VLOOKUP(E521,Assumptions!$A$5:$B$8,2,0)</f>
        <v/>
      </c>
    </row>
    <row r="522">
      <c r="A522" t="inlineStr">
        <is>
          <t>Reports</t>
        </is>
      </c>
      <c r="B522" t="inlineStr">
        <is>
          <t>RetailBanking</t>
        </is>
      </c>
      <c r="C522" t="inlineStr">
        <is>
          <t>AMLDataScheduler.aspx</t>
        </is>
      </c>
      <c r="D522" t="inlineStr">
        <is>
          <t>Reports/RetailBanking/AML/AMLDataScheduler.aspx</t>
        </is>
      </c>
      <c r="E522" t="inlineStr">
        <is>
          <t>Report</t>
        </is>
      </c>
      <c r="F522" s="25">
        <f>VLOOKUP(E522,Assumptions!$A$5:$B$8,2,0)</f>
        <v/>
      </c>
    </row>
    <row r="523">
      <c r="A523" t="inlineStr">
        <is>
          <t>Reports</t>
        </is>
      </c>
      <c r="B523" t="inlineStr">
        <is>
          <t>RetailBanking</t>
        </is>
      </c>
      <c r="C523" t="inlineStr">
        <is>
          <t>AMLGetRiskCategoryAcc.aspx</t>
        </is>
      </c>
      <c r="D523" t="inlineStr">
        <is>
          <t>Reports/RetailBanking/AML/AMLGetRiskCategoryAcc.aspx</t>
        </is>
      </c>
      <c r="E523" t="inlineStr">
        <is>
          <t>Report</t>
        </is>
      </c>
      <c r="F523" s="25">
        <f>VLOOKUP(E523,Assumptions!$A$5:$B$8,2,0)</f>
        <v/>
      </c>
    </row>
    <row r="524">
      <c r="A524" t="inlineStr">
        <is>
          <t>Reports</t>
        </is>
      </c>
      <c r="B524" t="inlineStr">
        <is>
          <t>RetailBanking</t>
        </is>
      </c>
      <c r="C524" t="inlineStr">
        <is>
          <t>AMLKYCDetailsPopUp.aspx</t>
        </is>
      </c>
      <c r="D524" t="inlineStr">
        <is>
          <t>Reports/RetailBanking/AML/AMLKYCDetailsPopUp.aspx</t>
        </is>
      </c>
      <c r="E524" t="inlineStr">
        <is>
          <t>Report</t>
        </is>
      </c>
      <c r="F524" s="25">
        <f>VLOOKUP(E524,Assumptions!$A$5:$B$8,2,0)</f>
        <v/>
      </c>
    </row>
    <row r="525">
      <c r="A525" t="inlineStr">
        <is>
          <t>Reports</t>
        </is>
      </c>
      <c r="B525" t="inlineStr">
        <is>
          <t>RetailBanking</t>
        </is>
      </c>
      <c r="C525" t="inlineStr">
        <is>
          <t>AMLMonthWiseAlerts.aspx</t>
        </is>
      </c>
      <c r="D525" t="inlineStr">
        <is>
          <t>Reports/RetailBanking/AML/AMLMonthWiseAlerts.aspx</t>
        </is>
      </c>
      <c r="E525" t="inlineStr">
        <is>
          <t>Report</t>
        </is>
      </c>
      <c r="F525" s="25">
        <f>VLOOKUP(E525,Assumptions!$A$5:$B$8,2,0)</f>
        <v/>
      </c>
    </row>
    <row r="526">
      <c r="A526" t="inlineStr">
        <is>
          <t>Reports</t>
        </is>
      </c>
      <c r="B526" t="inlineStr">
        <is>
          <t>RetailBanking</t>
        </is>
      </c>
      <c r="C526" t="inlineStr">
        <is>
          <t>AMLSettings.aspx</t>
        </is>
      </c>
      <c r="D526" t="inlineStr">
        <is>
          <t>Reports/RetailBanking/AML/AMLSettings.aspx</t>
        </is>
      </c>
      <c r="E526" t="inlineStr">
        <is>
          <t>Report</t>
        </is>
      </c>
      <c r="F526" s="25">
        <f>VLOOKUP(E526,Assumptions!$A$5:$B$8,2,0)</f>
        <v/>
      </c>
    </row>
    <row r="527">
      <c r="A527" t="inlineStr">
        <is>
          <t>Reports</t>
        </is>
      </c>
      <c r="B527" t="inlineStr">
        <is>
          <t>RetailBanking</t>
        </is>
      </c>
      <c r="C527" t="inlineStr">
        <is>
          <t>AMLTransactionWhiteListAdd.aspx</t>
        </is>
      </c>
      <c r="D527" t="inlineStr">
        <is>
          <t>Reports/RetailBanking/AML/AMLTransactionWhiteListAdd.aspx</t>
        </is>
      </c>
      <c r="E527" t="inlineStr">
        <is>
          <t>Report</t>
        </is>
      </c>
      <c r="F527" s="25">
        <f>VLOOKUP(E527,Assumptions!$A$5:$B$8,2,0)</f>
        <v/>
      </c>
    </row>
    <row r="528">
      <c r="A528" t="inlineStr">
        <is>
          <t>Reports</t>
        </is>
      </c>
      <c r="B528" t="inlineStr">
        <is>
          <t>RetailBanking</t>
        </is>
      </c>
      <c r="C528" t="inlineStr">
        <is>
          <t>AMLTransactionWhiteListPass.aspx</t>
        </is>
      </c>
      <c r="D528" t="inlineStr">
        <is>
          <t>Reports/RetailBanking/AML/AMLTransactionWhiteListPass.aspx</t>
        </is>
      </c>
      <c r="E528" t="inlineStr">
        <is>
          <t>Report</t>
        </is>
      </c>
      <c r="F528" s="25">
        <f>VLOOKUP(E528,Assumptions!$A$5:$B$8,2,0)</f>
        <v/>
      </c>
    </row>
    <row r="529">
      <c r="A529" t="inlineStr">
        <is>
          <t>Reports</t>
        </is>
      </c>
      <c r="B529" t="inlineStr">
        <is>
          <t>RetailBanking</t>
        </is>
      </c>
      <c r="C529" t="inlineStr">
        <is>
          <t>AMLWhiteListRecordRemove.aspx</t>
        </is>
      </c>
      <c r="D529" t="inlineStr">
        <is>
          <t>Reports/RetailBanking/AML/AMLWhiteListRecordRemove.aspx</t>
        </is>
      </c>
      <c r="E529" t="inlineStr">
        <is>
          <t>Report</t>
        </is>
      </c>
      <c r="F529" s="25">
        <f>VLOOKUP(E529,Assumptions!$A$5:$B$8,2,0)</f>
        <v/>
      </c>
    </row>
    <row r="530">
      <c r="A530" t="inlineStr">
        <is>
          <t>Reports</t>
        </is>
      </c>
      <c r="B530" t="inlineStr">
        <is>
          <t>RetailBanking</t>
        </is>
      </c>
      <c r="C530" t="inlineStr">
        <is>
          <t>AMLWhiteListTransactionRemove.aspx</t>
        </is>
      </c>
      <c r="D530" t="inlineStr">
        <is>
          <t>Reports/RetailBanking/AML/AMLWhiteListTransactionRemove.aspx</t>
        </is>
      </c>
      <c r="E530" t="inlineStr">
        <is>
          <t>Report</t>
        </is>
      </c>
      <c r="F530" s="25">
        <f>VLOOKUP(E530,Assumptions!$A$5:$B$8,2,0)</f>
        <v/>
      </c>
    </row>
    <row r="531">
      <c r="A531" t="inlineStr">
        <is>
          <t>Reports</t>
        </is>
      </c>
      <c r="B531" t="inlineStr">
        <is>
          <t>RetailBanking</t>
        </is>
      </c>
      <c r="C531" t="inlineStr">
        <is>
          <t>AML_AlertReport.aspx</t>
        </is>
      </c>
      <c r="D531" t="inlineStr">
        <is>
          <t>Reports/RetailBanking/AML/AML_AlertReport.aspx</t>
        </is>
      </c>
      <c r="E531" t="inlineStr">
        <is>
          <t>Report</t>
        </is>
      </c>
      <c r="F531" s="25">
        <f>VLOOKUP(E531,Assumptions!$A$5:$B$8,2,0)</f>
        <v/>
      </c>
    </row>
    <row r="532">
      <c r="A532" t="inlineStr">
        <is>
          <t>Reports</t>
        </is>
      </c>
      <c r="B532" t="inlineStr">
        <is>
          <t>RetailBanking</t>
        </is>
      </c>
      <c r="C532" t="inlineStr">
        <is>
          <t>AML_STRWhiteListedReport.aspx</t>
        </is>
      </c>
      <c r="D532" t="inlineStr">
        <is>
          <t>Reports/RetailBanking/AML/AML_STRWhiteListedReport.aspx</t>
        </is>
      </c>
      <c r="E532" t="inlineStr">
        <is>
          <t>Report</t>
        </is>
      </c>
      <c r="F532" s="25">
        <f>VLOOKUP(E532,Assumptions!$A$5:$B$8,2,0)</f>
        <v/>
      </c>
    </row>
    <row r="533">
      <c r="A533" t="inlineStr">
        <is>
          <t>Reports</t>
        </is>
      </c>
      <c r="B533" t="inlineStr">
        <is>
          <t>RetailBanking</t>
        </is>
      </c>
      <c r="C533" t="inlineStr">
        <is>
          <t>AML_SuspiciousMarkingReport.aspx</t>
        </is>
      </c>
      <c r="D533" t="inlineStr">
        <is>
          <t>Reports/RetailBanking/AML/AML_SuspiciousMarkingReport.aspx</t>
        </is>
      </c>
      <c r="E533" t="inlineStr">
        <is>
          <t>Report</t>
        </is>
      </c>
      <c r="F533" s="25">
        <f>VLOOKUP(E533,Assumptions!$A$5:$B$8,2,0)</f>
        <v/>
      </c>
    </row>
    <row r="534">
      <c r="A534" t="inlineStr">
        <is>
          <t>Reports</t>
        </is>
      </c>
      <c r="B534" t="inlineStr">
        <is>
          <t>RetailBanking</t>
        </is>
      </c>
      <c r="C534" t="inlineStr">
        <is>
          <t>AML_WhiteListMarking.aspx</t>
        </is>
      </c>
      <c r="D534" t="inlineStr">
        <is>
          <t>Reports/RetailBanking/AML/AML_WhiteListMarking.aspx</t>
        </is>
      </c>
      <c r="E534" t="inlineStr">
        <is>
          <t>Report</t>
        </is>
      </c>
      <c r="F534" s="25">
        <f>VLOOKUP(E534,Assumptions!$A$5:$B$8,2,0)</f>
        <v/>
      </c>
    </row>
    <row r="535">
      <c r="A535" t="inlineStr">
        <is>
          <t>Reports</t>
        </is>
      </c>
      <c r="B535" t="inlineStr">
        <is>
          <t>RetailBanking</t>
        </is>
      </c>
      <c r="C535" t="inlineStr">
        <is>
          <t>AmlVerificationMarkedByUserPopUp.aspx</t>
        </is>
      </c>
      <c r="D535" t="inlineStr">
        <is>
          <t>Reports/RetailBanking/AML/AmlVerificationMarkedByUserPopUp.aspx</t>
        </is>
      </c>
      <c r="E535" t="inlineStr">
        <is>
          <t>Report</t>
        </is>
      </c>
      <c r="F535" s="25">
        <f>VLOOKUP(E535,Assumptions!$A$5:$B$8,2,0)</f>
        <v/>
      </c>
    </row>
    <row r="536">
      <c r="A536" t="inlineStr">
        <is>
          <t>Reports</t>
        </is>
      </c>
      <c r="B536" t="inlineStr">
        <is>
          <t>RetailBanking</t>
        </is>
      </c>
      <c r="C536" t="inlineStr">
        <is>
          <t>AmlVerificationMarkedByUserPopUpWhiteList.aspx</t>
        </is>
      </c>
      <c r="D536" t="inlineStr">
        <is>
          <t>Reports/RetailBanking/AML/AmlVerificationMarkedByUserPopUpWhiteList.aspx</t>
        </is>
      </c>
      <c r="E536" t="inlineStr">
        <is>
          <t>Report</t>
        </is>
      </c>
      <c r="F536" s="25">
        <f>VLOOKUP(E536,Assumptions!$A$5:$B$8,2,0)</f>
        <v/>
      </c>
    </row>
    <row r="537">
      <c r="A537" t="inlineStr">
        <is>
          <t>Reports</t>
        </is>
      </c>
      <c r="B537" t="inlineStr">
        <is>
          <t>RetailBanking</t>
        </is>
      </c>
      <c r="C537" t="inlineStr">
        <is>
          <t>AmlWorkingDateReports.aspx</t>
        </is>
      </c>
      <c r="D537" t="inlineStr">
        <is>
          <t>Reports/RetailBanking/AML/AmlWorkingDateReports.aspx</t>
        </is>
      </c>
      <c r="E537" t="inlineStr">
        <is>
          <t>Report</t>
        </is>
      </c>
      <c r="F537" s="25">
        <f>VLOOKUP(E537,Assumptions!$A$5:$B$8,2,0)</f>
        <v/>
      </c>
    </row>
    <row r="538">
      <c r="A538" t="inlineStr">
        <is>
          <t>Reports</t>
        </is>
      </c>
      <c r="B538" t="inlineStr">
        <is>
          <t>RetailBanking</t>
        </is>
      </c>
      <c r="C538" t="inlineStr">
        <is>
          <t>AmlWorkingDateReportsV1.aspx</t>
        </is>
      </c>
      <c r="D538" t="inlineStr">
        <is>
          <t>Reports/RetailBanking/AML/AmlWorkingDateReportsV1.aspx</t>
        </is>
      </c>
      <c r="E538" t="inlineStr">
        <is>
          <t>Report</t>
        </is>
      </c>
      <c r="F538" s="25">
        <f>VLOOKUP(E538,Assumptions!$A$5:$B$8,2,0)</f>
        <v/>
      </c>
    </row>
    <row r="539">
      <c r="A539" t="inlineStr">
        <is>
          <t>Reports</t>
        </is>
      </c>
      <c r="B539" t="inlineStr">
        <is>
          <t>RetailBanking</t>
        </is>
      </c>
      <c r="C539" t="inlineStr">
        <is>
          <t>AmlWorkingDateReportsV1PopUp.aspx</t>
        </is>
      </c>
      <c r="D539" t="inlineStr">
        <is>
          <t>Reports/RetailBanking/AML/AmlWorkingDateReportsV1PopUp.aspx</t>
        </is>
      </c>
      <c r="E539" t="inlineStr">
        <is>
          <t>Report</t>
        </is>
      </c>
      <c r="F539" s="25">
        <f>VLOOKUP(E539,Assumptions!$A$5:$B$8,2,0)</f>
        <v/>
      </c>
    </row>
    <row r="540">
      <c r="A540" t="inlineStr">
        <is>
          <t>Reports</t>
        </is>
      </c>
      <c r="B540" t="inlineStr">
        <is>
          <t>RetailBanking</t>
        </is>
      </c>
      <c r="C540" t="inlineStr">
        <is>
          <t>AmlWorkingDateReportsV1_WithExcel.aspx</t>
        </is>
      </c>
      <c r="D540" t="inlineStr">
        <is>
          <t>Reports/RetailBanking/AML/AmlWorkingDateReportsV1_WithExcel.aspx</t>
        </is>
      </c>
      <c r="E540" t="inlineStr">
        <is>
          <t>Report</t>
        </is>
      </c>
      <c r="F540" s="25">
        <f>VLOOKUP(E540,Assumptions!$A$5:$B$8,2,0)</f>
        <v/>
      </c>
    </row>
    <row r="541">
      <c r="A541" t="inlineStr">
        <is>
          <t>Reports</t>
        </is>
      </c>
      <c r="B541" t="inlineStr">
        <is>
          <t>RetailBanking</t>
        </is>
      </c>
      <c r="C541" t="inlineStr">
        <is>
          <t>AmlWorkingDateReportsV2.aspx</t>
        </is>
      </c>
      <c r="D541" t="inlineStr">
        <is>
          <t>Reports/RetailBanking/AML/AmlWorkingDateReportsV2.aspx</t>
        </is>
      </c>
      <c r="E541" t="inlineStr">
        <is>
          <t>Report</t>
        </is>
      </c>
      <c r="F541" s="25">
        <f>VLOOKUP(E541,Assumptions!$A$5:$B$8,2,0)</f>
        <v/>
      </c>
    </row>
    <row r="542">
      <c r="A542" t="inlineStr">
        <is>
          <t>Reports</t>
        </is>
      </c>
      <c r="B542" t="inlineStr">
        <is>
          <t>RetailBanking</t>
        </is>
      </c>
      <c r="C542" t="inlineStr">
        <is>
          <t>AmlWorkingDateReportsV2PopUp.aspx</t>
        </is>
      </c>
      <c r="D542" t="inlineStr">
        <is>
          <t>Reports/RetailBanking/AML/AmlWorkingDateReportsV2PopUp.aspx</t>
        </is>
      </c>
      <c r="E542" t="inlineStr">
        <is>
          <t>Report</t>
        </is>
      </c>
      <c r="F542" s="25">
        <f>VLOOKUP(E542,Assumptions!$A$5:$B$8,2,0)</f>
        <v/>
      </c>
    </row>
    <row r="543">
      <c r="A543" t="inlineStr">
        <is>
          <t>Reports</t>
        </is>
      </c>
      <c r="B543" t="inlineStr">
        <is>
          <t>RetailBanking</t>
        </is>
      </c>
      <c r="C543" t="inlineStr">
        <is>
          <t>AmlWorkingDateReportsV3.aspx</t>
        </is>
      </c>
      <c r="D543" t="inlineStr">
        <is>
          <t>Reports/RetailBanking/AML/AmlWorkingDateReportsV3.aspx</t>
        </is>
      </c>
      <c r="E543" t="inlineStr">
        <is>
          <t>Report</t>
        </is>
      </c>
      <c r="F543" s="25">
        <f>VLOOKUP(E543,Assumptions!$A$5:$B$8,2,0)</f>
        <v/>
      </c>
    </row>
    <row r="544">
      <c r="A544" t="inlineStr">
        <is>
          <t>Reports</t>
        </is>
      </c>
      <c r="B544" t="inlineStr">
        <is>
          <t>RetailBanking</t>
        </is>
      </c>
      <c r="C544" t="inlineStr">
        <is>
          <t>AmlWorkingDateReportsWhiteListV1PopUp.aspx</t>
        </is>
      </c>
      <c r="D544" t="inlineStr">
        <is>
          <t>Reports/RetailBanking/AML/AmlWorkingDateReportsWhiteListV1PopUp.aspx</t>
        </is>
      </c>
      <c r="E544" t="inlineStr">
        <is>
          <t>Report</t>
        </is>
      </c>
      <c r="F544" s="25">
        <f>VLOOKUP(E544,Assumptions!$A$5:$B$8,2,0)</f>
        <v/>
      </c>
    </row>
    <row r="545">
      <c r="A545" t="inlineStr">
        <is>
          <t>Reports</t>
        </is>
      </c>
      <c r="B545" t="inlineStr">
        <is>
          <t>RetailBanking</t>
        </is>
      </c>
      <c r="C545" t="inlineStr">
        <is>
          <t>AntiMoneyLaundering.aspx</t>
        </is>
      </c>
      <c r="D545" t="inlineStr">
        <is>
          <t>Reports/RetailBanking/AML/AntiMoneyLaundering.aspx</t>
        </is>
      </c>
      <c r="E545" t="inlineStr">
        <is>
          <t>Report</t>
        </is>
      </c>
      <c r="F545" s="25">
        <f>VLOOKUP(E545,Assumptions!$A$5:$B$8,2,0)</f>
        <v/>
      </c>
    </row>
    <row r="546">
      <c r="A546" t="inlineStr">
        <is>
          <t>Reports</t>
        </is>
      </c>
      <c r="B546" t="inlineStr">
        <is>
          <t>RetailBanking</t>
        </is>
      </c>
      <c r="C546" t="inlineStr">
        <is>
          <t>BranchAMLMarking.aspx</t>
        </is>
      </c>
      <c r="D546" t="inlineStr">
        <is>
          <t>Reports/RetailBanking/AML/BranchAMLMarking.aspx</t>
        </is>
      </c>
      <c r="E546" t="inlineStr">
        <is>
          <t>Report</t>
        </is>
      </c>
      <c r="F546" s="25">
        <f>VLOOKUP(E546,Assumptions!$A$5:$B$8,2,0)</f>
        <v/>
      </c>
    </row>
    <row r="547">
      <c r="A547" t="inlineStr">
        <is>
          <t>Reports</t>
        </is>
      </c>
      <c r="B547" t="inlineStr">
        <is>
          <t>RetailBanking</t>
        </is>
      </c>
      <c r="C547" t="inlineStr">
        <is>
          <t>PrincipalOfficerAMLMarking.aspx</t>
        </is>
      </c>
      <c r="D547" t="inlineStr">
        <is>
          <t>Reports/RetailBanking/AML/PrincipalOfficerAMLMarking.aspx</t>
        </is>
      </c>
      <c r="E547" t="inlineStr">
        <is>
          <t>Report</t>
        </is>
      </c>
      <c r="F547" s="25">
        <f>VLOOKUP(E547,Assumptions!$A$5:$B$8,2,0)</f>
        <v/>
      </c>
    </row>
    <row r="548">
      <c r="A548" t="inlineStr">
        <is>
          <t>Reports</t>
        </is>
      </c>
      <c r="B548" t="inlineStr">
        <is>
          <t>RetailBanking</t>
        </is>
      </c>
      <c r="C548" t="inlineStr">
        <is>
          <t>STRAlertReport.aspx</t>
        </is>
      </c>
      <c r="D548" t="inlineStr">
        <is>
          <t>Reports/RetailBanking/AML/STRAlertReport.aspx</t>
        </is>
      </c>
      <c r="E548" t="inlineStr">
        <is>
          <t>Report</t>
        </is>
      </c>
      <c r="F548" s="25">
        <f>VLOOKUP(E548,Assumptions!$A$5:$B$8,2,0)</f>
        <v/>
      </c>
    </row>
    <row r="549">
      <c r="A549" t="inlineStr">
        <is>
          <t>Reports</t>
        </is>
      </c>
      <c r="B549" t="inlineStr">
        <is>
          <t>RetailBanking</t>
        </is>
      </c>
      <c r="C549" t="inlineStr">
        <is>
          <t>b_ATMCardBlockReport.aspx</t>
        </is>
      </c>
      <c r="D549" t="inlineStr">
        <is>
          <t>Reports/RetailBanking/ATM/b_ATMCardBlockReport.aspx</t>
        </is>
      </c>
      <c r="E549" t="inlineStr">
        <is>
          <t>Report</t>
        </is>
      </c>
      <c r="F549" s="25">
        <f>VLOOKUP(E549,Assumptions!$A$5:$B$8,2,0)</f>
        <v/>
      </c>
    </row>
    <row r="550">
      <c r="A550" t="inlineStr">
        <is>
          <t>Reports</t>
        </is>
      </c>
      <c r="B550" t="inlineStr">
        <is>
          <t>RetailBanking</t>
        </is>
      </c>
      <c r="C550" t="inlineStr">
        <is>
          <t>ATMAccMismatchTran.aspx</t>
        </is>
      </c>
      <c r="D550" t="inlineStr">
        <is>
          <t>Reports/RetailBanking/ATMAccMismatchTran.aspx</t>
        </is>
      </c>
      <c r="E550" t="inlineStr">
        <is>
          <t>Report</t>
        </is>
      </c>
      <c r="F550" s="25">
        <f>VLOOKUP(E550,Assumptions!$A$5:$B$8,2,0)</f>
        <v/>
      </c>
    </row>
    <row r="551">
      <c r="A551" t="inlineStr">
        <is>
          <t>Reports</t>
        </is>
      </c>
      <c r="B551" t="inlineStr">
        <is>
          <t>RetailBanking</t>
        </is>
      </c>
      <c r="C551" t="inlineStr">
        <is>
          <t>ATMDisputeReport.aspx</t>
        </is>
      </c>
      <c r="D551" t="inlineStr">
        <is>
          <t>Reports/RetailBanking/ATMDisputeReport.aspx</t>
        </is>
      </c>
      <c r="E551" t="inlineStr">
        <is>
          <t>Report</t>
        </is>
      </c>
      <c r="F551" s="25">
        <f>VLOOKUP(E551,Assumptions!$A$5:$B$8,2,0)</f>
        <v/>
      </c>
    </row>
    <row r="552">
      <c r="A552" t="inlineStr">
        <is>
          <t>Reports</t>
        </is>
      </c>
      <c r="B552" t="inlineStr">
        <is>
          <t>RetailBanking</t>
        </is>
      </c>
      <c r="C552" t="inlineStr">
        <is>
          <t>ATMReports.aspx</t>
        </is>
      </c>
      <c r="D552" t="inlineStr">
        <is>
          <t>Reports/RetailBanking/ATMReports.aspx</t>
        </is>
      </c>
      <c r="E552" t="inlineStr">
        <is>
          <t>Report</t>
        </is>
      </c>
      <c r="F552" s="25">
        <f>VLOOKUP(E552,Assumptions!$A$5:$B$8,2,0)</f>
        <v/>
      </c>
    </row>
    <row r="553">
      <c r="A553" t="inlineStr">
        <is>
          <t>Reports</t>
        </is>
      </c>
      <c r="B553" t="inlineStr">
        <is>
          <t>RetailBanking</t>
        </is>
      </c>
      <c r="C553" t="inlineStr">
        <is>
          <t>AccOpenCloseRegister.aspx</t>
        </is>
      </c>
      <c r="D553" t="inlineStr">
        <is>
          <t>Reports/RetailBanking/AccOpenCloseRegister.aspx</t>
        </is>
      </c>
      <c r="E553" t="inlineStr">
        <is>
          <t>Report</t>
        </is>
      </c>
      <c r="F553" s="25">
        <f>VLOOKUP(E553,Assumptions!$A$5:$B$8,2,0)</f>
        <v/>
      </c>
    </row>
    <row r="554">
      <c r="A554" t="inlineStr">
        <is>
          <t>Reports</t>
        </is>
      </c>
      <c r="B554" t="inlineStr">
        <is>
          <t>RetailBanking</t>
        </is>
      </c>
      <c r="C554" t="inlineStr">
        <is>
          <t>AccountLedger.aspx</t>
        </is>
      </c>
      <c r="D554" t="inlineStr">
        <is>
          <t>Reports/RetailBanking/Account/AccountLedger.aspx</t>
        </is>
      </c>
      <c r="E554" t="inlineStr">
        <is>
          <t>Report</t>
        </is>
      </c>
      <c r="F554" s="25">
        <f>VLOOKUP(E554,Assumptions!$A$5:$B$8,2,0)</f>
        <v/>
      </c>
    </row>
    <row r="555">
      <c r="A555" t="inlineStr">
        <is>
          <t>Reports</t>
        </is>
      </c>
      <c r="B555" t="inlineStr">
        <is>
          <t>RetailBanking</t>
        </is>
      </c>
      <c r="C555" t="inlineStr">
        <is>
          <t>AccountReportSetting.aspx</t>
        </is>
      </c>
      <c r="D555" t="inlineStr">
        <is>
          <t>Reports/RetailBanking/Account/AccountReportSetting.aspx</t>
        </is>
      </c>
      <c r="E555" t="inlineStr">
        <is>
          <t>Report</t>
        </is>
      </c>
      <c r="F555" s="25">
        <f>VLOOKUP(E555,Assumptions!$A$5:$B$8,2,0)</f>
        <v/>
      </c>
    </row>
    <row r="556">
      <c r="A556" t="inlineStr">
        <is>
          <t>Reports</t>
        </is>
      </c>
      <c r="B556" t="inlineStr">
        <is>
          <t>RetailBanking</t>
        </is>
      </c>
      <c r="C556" t="inlineStr">
        <is>
          <t>AllAccStmtbyClient.aspx</t>
        </is>
      </c>
      <c r="D556" t="inlineStr">
        <is>
          <t>Reports/RetailBanking/Account/AllAccStmtbyClient.aspx</t>
        </is>
      </c>
      <c r="E556" t="inlineStr">
        <is>
          <t>Report</t>
        </is>
      </c>
      <c r="F556" s="25">
        <f>VLOOKUP(E556,Assumptions!$A$5:$B$8,2,0)</f>
        <v/>
      </c>
    </row>
    <row r="557">
      <c r="A557" t="inlineStr">
        <is>
          <t>Reports</t>
        </is>
      </c>
      <c r="B557" t="inlineStr">
        <is>
          <t>RetailBanking</t>
        </is>
      </c>
      <c r="C557" t="inlineStr">
        <is>
          <t>AllAcc_Export.aspx</t>
        </is>
      </c>
      <c r="D557" t="inlineStr">
        <is>
          <t>Reports/RetailBanking/Account/AllAcc_Export.aspx</t>
        </is>
      </c>
      <c r="E557" t="inlineStr">
        <is>
          <t>Report</t>
        </is>
      </c>
      <c r="F557" s="25">
        <f>VLOOKUP(E557,Assumptions!$A$5:$B$8,2,0)</f>
        <v/>
      </c>
    </row>
    <row r="558">
      <c r="A558" t="inlineStr">
        <is>
          <t>Reports</t>
        </is>
      </c>
      <c r="B558" t="inlineStr">
        <is>
          <t>RetailBanking</t>
        </is>
      </c>
      <c r="C558" t="inlineStr">
        <is>
          <t>CCOprAccount.aspx</t>
        </is>
      </c>
      <c r="D558" t="inlineStr">
        <is>
          <t>Reports/RetailBanking/Account/CCOprAccount.aspx</t>
        </is>
      </c>
      <c r="E558" t="inlineStr">
        <is>
          <t>Report</t>
        </is>
      </c>
      <c r="F558" s="25">
        <f>VLOOKUP(E558,Assumptions!$A$5:$B$8,2,0)</f>
        <v/>
      </c>
    </row>
    <row r="559">
      <c r="A559" t="inlineStr">
        <is>
          <t>Reports</t>
        </is>
      </c>
      <c r="B559" t="inlineStr">
        <is>
          <t>RetailBanking</t>
        </is>
      </c>
      <c r="C559" t="inlineStr">
        <is>
          <t>DeafAccountDetailReport.aspx</t>
        </is>
      </c>
      <c r="D559" t="inlineStr">
        <is>
          <t>Reports/RetailBanking/Account/DeafAccountDetailReport.aspx</t>
        </is>
      </c>
      <c r="E559" t="inlineStr">
        <is>
          <t>Report</t>
        </is>
      </c>
      <c r="F559" s="25">
        <f>VLOOKUP(E559,Assumptions!$A$5:$B$8,2,0)</f>
        <v/>
      </c>
    </row>
    <row r="560">
      <c r="A560" t="inlineStr">
        <is>
          <t>Reports</t>
        </is>
      </c>
      <c r="B560" t="inlineStr">
        <is>
          <t>RetailBanking</t>
        </is>
      </c>
      <c r="C560" t="inlineStr">
        <is>
          <t>AccountBalancingReport.aspx</t>
        </is>
      </c>
      <c r="D560" t="inlineStr">
        <is>
          <t>Reports/RetailBanking/AccountBalancingReport.aspx</t>
        </is>
      </c>
      <c r="E560" t="inlineStr">
        <is>
          <t>Report</t>
        </is>
      </c>
      <c r="F560" s="25">
        <f>VLOOKUP(E560,Assumptions!$A$5:$B$8,2,0)</f>
        <v/>
      </c>
    </row>
    <row r="561">
      <c r="A561" t="inlineStr">
        <is>
          <t>Reports</t>
        </is>
      </c>
      <c r="B561" t="inlineStr">
        <is>
          <t>RetailBanking</t>
        </is>
      </c>
      <c r="C561" t="inlineStr">
        <is>
          <t>AccountClosingCertificate.aspx</t>
        </is>
      </c>
      <c r="D561" t="inlineStr">
        <is>
          <t>Reports/RetailBanking/AccountClosingCertificate.aspx</t>
        </is>
      </c>
      <c r="E561" t="inlineStr">
        <is>
          <t>Report</t>
        </is>
      </c>
      <c r="F561" s="25">
        <f>VLOOKUP(E561,Assumptions!$A$5:$B$8,2,0)</f>
        <v/>
      </c>
    </row>
    <row r="562">
      <c r="A562" t="inlineStr">
        <is>
          <t>Reports</t>
        </is>
      </c>
      <c r="B562" t="inlineStr">
        <is>
          <t>RetailBanking</t>
        </is>
      </c>
      <c r="C562" t="inlineStr">
        <is>
          <t>AccountOpenCloseSummary.aspx</t>
        </is>
      </c>
      <c r="D562" t="inlineStr">
        <is>
          <t>Reports/RetailBanking/AccountOpenCloseSummary.aspx</t>
        </is>
      </c>
      <c r="E562" t="inlineStr">
        <is>
          <t>Report</t>
        </is>
      </c>
      <c r="F562" s="25">
        <f>VLOOKUP(E562,Assumptions!$A$5:$B$8,2,0)</f>
        <v/>
      </c>
    </row>
    <row r="563">
      <c r="A563" t="inlineStr">
        <is>
          <t>Reports</t>
        </is>
      </c>
      <c r="B563" t="inlineStr">
        <is>
          <t>RetailBanking</t>
        </is>
      </c>
      <c r="C563" t="inlineStr">
        <is>
          <t>AccountStatement.aspx</t>
        </is>
      </c>
      <c r="D563" t="inlineStr">
        <is>
          <t>Reports/RetailBanking/AccountStatement.aspx</t>
        </is>
      </c>
      <c r="E563" t="inlineStr">
        <is>
          <t>Report</t>
        </is>
      </c>
      <c r="F563" s="25">
        <f>VLOOKUP(E563,Assumptions!$A$5:$B$8,2,0)</f>
        <v/>
      </c>
    </row>
    <row r="564">
      <c r="A564" t="inlineStr">
        <is>
          <t>Reports</t>
        </is>
      </c>
      <c r="B564" t="inlineStr">
        <is>
          <t>RetailBanking</t>
        </is>
      </c>
      <c r="C564" t="inlineStr">
        <is>
          <t>AllUnpassedReports.aspx</t>
        </is>
      </c>
      <c r="D564" t="inlineStr">
        <is>
          <t>Reports/RetailBanking/AllUnpassedReports.aspx</t>
        </is>
      </c>
      <c r="E564" t="inlineStr">
        <is>
          <t>Report</t>
        </is>
      </c>
      <c r="F564" s="25">
        <f>VLOOKUP(E564,Assumptions!$A$5:$B$8,2,0)</f>
        <v/>
      </c>
    </row>
    <row r="565">
      <c r="A565" t="inlineStr">
        <is>
          <t>Reports</t>
        </is>
      </c>
      <c r="B565" t="inlineStr">
        <is>
          <t>RetailBanking</t>
        </is>
      </c>
      <c r="C565" t="inlineStr">
        <is>
          <t>AuditReportSetting.aspx</t>
        </is>
      </c>
      <c r="D565" t="inlineStr">
        <is>
          <t>Reports/RetailBanking/Audit/AuditReportSetting.aspx</t>
        </is>
      </c>
      <c r="E565" t="inlineStr">
        <is>
          <t>Report</t>
        </is>
      </c>
      <c r="F565" s="25">
        <f>VLOOKUP(E565,Assumptions!$A$5:$B$8,2,0)</f>
        <v/>
      </c>
    </row>
    <row r="566">
      <c r="A566" t="inlineStr">
        <is>
          <t>Reports</t>
        </is>
      </c>
      <c r="B566" t="inlineStr">
        <is>
          <t>RetailBanking</t>
        </is>
      </c>
      <c r="C566" t="inlineStr">
        <is>
          <t>BGReportOptions.aspx</t>
        </is>
      </c>
      <c r="D566" t="inlineStr">
        <is>
          <t>Reports/RetailBanking/BG/BGReportOptions.aspx</t>
        </is>
      </c>
      <c r="E566" t="inlineStr">
        <is>
          <t>Report</t>
        </is>
      </c>
      <c r="F566" s="25">
        <f>VLOOKUP(E566,Assumptions!$A$5:$B$8,2,0)</f>
        <v/>
      </c>
    </row>
    <row r="567">
      <c r="A567" t="inlineStr">
        <is>
          <t>Reports</t>
        </is>
      </c>
      <c r="B567" t="inlineStr">
        <is>
          <t>RetailBanking</t>
        </is>
      </c>
      <c r="C567" t="inlineStr">
        <is>
          <t>BachatGatReports.aspx</t>
        </is>
      </c>
      <c r="D567" t="inlineStr">
        <is>
          <t>Reports/RetailBanking/BachatGat/BachatGatReports.aspx</t>
        </is>
      </c>
      <c r="E567" t="inlineStr">
        <is>
          <t>Report</t>
        </is>
      </c>
      <c r="F567" s="25">
        <f>VLOOKUP(E567,Assumptions!$A$5:$B$8,2,0)</f>
        <v/>
      </c>
    </row>
    <row r="568">
      <c r="A568" t="inlineStr">
        <is>
          <t>Reports</t>
        </is>
      </c>
      <c r="B568" t="inlineStr">
        <is>
          <t>RetailBanking</t>
        </is>
      </c>
      <c r="C568" t="inlineStr">
        <is>
          <t>BalanceCertificate.aspx</t>
        </is>
      </c>
      <c r="D568" t="inlineStr">
        <is>
          <t>Reports/RetailBanking/BalanceCertificate.aspx</t>
        </is>
      </c>
      <c r="E568" t="inlineStr">
        <is>
          <t>Report</t>
        </is>
      </c>
      <c r="F568" s="25">
        <f>VLOOKUP(E568,Assumptions!$A$5:$B$8,2,0)</f>
        <v/>
      </c>
    </row>
    <row r="569">
      <c r="A569" t="inlineStr">
        <is>
          <t>Reports</t>
        </is>
      </c>
      <c r="B569" t="inlineStr">
        <is>
          <t>RetailBanking</t>
        </is>
      </c>
      <c r="C569" t="inlineStr">
        <is>
          <t>BalancingReportSetting.aspx</t>
        </is>
      </c>
      <c r="D569" t="inlineStr">
        <is>
          <t>Reports/RetailBanking/Balancing/BalancingReportSetting.aspx</t>
        </is>
      </c>
      <c r="E569" t="inlineStr">
        <is>
          <t>Report</t>
        </is>
      </c>
      <c r="F569" s="25">
        <f>VLOOKUP(E569,Assumptions!$A$5:$B$8,2,0)</f>
        <v/>
      </c>
    </row>
    <row r="570">
      <c r="A570" t="inlineStr">
        <is>
          <t>Reports</t>
        </is>
      </c>
      <c r="B570" t="inlineStr">
        <is>
          <t>RetailBanking</t>
        </is>
      </c>
      <c r="C570" t="inlineStr">
        <is>
          <t>BookBalanceCertificateReport.aspx</t>
        </is>
      </c>
      <c r="D570" t="inlineStr">
        <is>
          <t>Reports/RetailBanking/BookBalanceCertificateReport.aspx</t>
        </is>
      </c>
      <c r="E570" t="inlineStr">
        <is>
          <t>Report</t>
        </is>
      </c>
      <c r="F570" s="25">
        <f>VLOOKUP(E570,Assumptions!$A$5:$B$8,2,0)</f>
        <v/>
      </c>
    </row>
    <row r="571">
      <c r="A571" t="inlineStr">
        <is>
          <t>Reports</t>
        </is>
      </c>
      <c r="B571" t="inlineStr">
        <is>
          <t>RetailBanking</t>
        </is>
      </c>
      <c r="C571" t="inlineStr">
        <is>
          <t>BranchReconciliationSummary.aspx</t>
        </is>
      </c>
      <c r="D571" t="inlineStr">
        <is>
          <t>Reports/RetailBanking/BranchReconciliationSummary.aspx</t>
        </is>
      </c>
      <c r="E571" t="inlineStr">
        <is>
          <t>Report</t>
        </is>
      </c>
      <c r="F571" s="25">
        <f>VLOOKUP(E571,Assumptions!$A$5:$B$8,2,0)</f>
        <v/>
      </c>
    </row>
    <row r="572">
      <c r="A572" t="inlineStr">
        <is>
          <t>Reports</t>
        </is>
      </c>
      <c r="B572" t="inlineStr">
        <is>
          <t>RetailBanking</t>
        </is>
      </c>
      <c r="C572" t="inlineStr">
        <is>
          <t>CTR.aspx</t>
        </is>
      </c>
      <c r="D572" t="inlineStr">
        <is>
          <t>Reports/RetailBanking/CTR.aspx</t>
        </is>
      </c>
      <c r="E572" t="inlineStr">
        <is>
          <t>Report</t>
        </is>
      </c>
      <c r="F572" s="25">
        <f>VLOOKUP(E572,Assumptions!$A$5:$B$8,2,0)</f>
        <v/>
      </c>
    </row>
    <row r="573">
      <c r="A573" t="inlineStr">
        <is>
          <t>Reports</t>
        </is>
      </c>
      <c r="B573" t="inlineStr">
        <is>
          <t>RetailBanking</t>
        </is>
      </c>
      <c r="C573" t="inlineStr">
        <is>
          <t>CTR_BranchDetails.aspx</t>
        </is>
      </c>
      <c r="D573" t="inlineStr">
        <is>
          <t>Reports/RetailBanking/CTR/CTR_BranchDetails.aspx</t>
        </is>
      </c>
      <c r="E573" t="inlineStr">
        <is>
          <t>Report</t>
        </is>
      </c>
      <c r="F573" s="25">
        <f>VLOOKUP(E573,Assumptions!$A$5:$B$8,2,0)</f>
        <v/>
      </c>
    </row>
    <row r="574">
      <c r="A574" t="inlineStr">
        <is>
          <t>Reports</t>
        </is>
      </c>
      <c r="B574" t="inlineStr">
        <is>
          <t>RetailBanking</t>
        </is>
      </c>
      <c r="C574" t="inlineStr">
        <is>
          <t>CTR_ControlFile.aspx</t>
        </is>
      </c>
      <c r="D574" t="inlineStr">
        <is>
          <t>Reports/RetailBanking/CTR/CTR_ControlFile.aspx</t>
        </is>
      </c>
      <c r="E574" t="inlineStr">
        <is>
          <t>Report</t>
        </is>
      </c>
      <c r="F574" s="25">
        <f>VLOOKUP(E574,Assumptions!$A$5:$B$8,2,0)</f>
        <v/>
      </c>
    </row>
    <row r="575">
      <c r="A575" t="inlineStr">
        <is>
          <t>Reports</t>
        </is>
      </c>
      <c r="B575" t="inlineStr">
        <is>
          <t>RetailBanking</t>
        </is>
      </c>
      <c r="C575" t="inlineStr">
        <is>
          <t>CTR_ReportFile.aspx</t>
        </is>
      </c>
      <c r="D575" t="inlineStr">
        <is>
          <t>Reports/RetailBanking/CTR/CTR_ReportFile.aspx</t>
        </is>
      </c>
      <c r="E575" t="inlineStr">
        <is>
          <t>Report</t>
        </is>
      </c>
      <c r="F575" s="25">
        <f>VLOOKUP(E575,Assumptions!$A$5:$B$8,2,0)</f>
        <v/>
      </c>
    </row>
    <row r="576">
      <c r="A576" t="inlineStr">
        <is>
          <t>Reports</t>
        </is>
      </c>
      <c r="B576" t="inlineStr">
        <is>
          <t>RetailBanking</t>
        </is>
      </c>
      <c r="C576" t="inlineStr">
        <is>
          <t>CTR_V1.aspx</t>
        </is>
      </c>
      <c r="D576" t="inlineStr">
        <is>
          <t>Reports/RetailBanking/CTR_V1.aspx</t>
        </is>
      </c>
      <c r="E576" t="inlineStr">
        <is>
          <t>Report</t>
        </is>
      </c>
      <c r="F576" s="25">
        <f>VLOOKUP(E576,Assumptions!$A$5:$B$8,2,0)</f>
        <v/>
      </c>
    </row>
    <row r="577">
      <c r="A577" t="inlineStr">
        <is>
          <t>Reports</t>
        </is>
      </c>
      <c r="B577" t="inlineStr">
        <is>
          <t>RetailBanking</t>
        </is>
      </c>
      <c r="C577" t="inlineStr">
        <is>
          <t>CashLimitDetails.aspx</t>
        </is>
      </c>
      <c r="D577" t="inlineStr">
        <is>
          <t>Reports/RetailBanking/CashLimitDetails.aspx</t>
        </is>
      </c>
      <c r="E577" t="inlineStr">
        <is>
          <t>Report</t>
        </is>
      </c>
      <c r="F577" s="25">
        <f>VLOOKUP(E577,Assumptions!$A$5:$B$8,2,0)</f>
        <v/>
      </c>
    </row>
    <row r="578">
      <c r="A578" t="inlineStr">
        <is>
          <t>Reports</t>
        </is>
      </c>
      <c r="B578" t="inlineStr">
        <is>
          <t>RetailBanking</t>
        </is>
      </c>
      <c r="C578" t="inlineStr">
        <is>
          <t>CashPosition.aspx</t>
        </is>
      </c>
      <c r="D578" t="inlineStr">
        <is>
          <t>Reports/RetailBanking/CashPosition.aspx</t>
        </is>
      </c>
      <c r="E578" t="inlineStr">
        <is>
          <t>Report</t>
        </is>
      </c>
      <c r="F578" s="25">
        <f>VLOOKUP(E578,Assumptions!$A$5:$B$8,2,0)</f>
        <v/>
      </c>
    </row>
    <row r="579">
      <c r="A579" t="inlineStr">
        <is>
          <t>Reports</t>
        </is>
      </c>
      <c r="B579" t="inlineStr">
        <is>
          <t>RetailBanking</t>
        </is>
      </c>
      <c r="C579" t="inlineStr">
        <is>
          <t>CashRemittanceReport.aspx</t>
        </is>
      </c>
      <c r="D579" t="inlineStr">
        <is>
          <t>Reports/RetailBanking/CashRemittanceReport.aspx</t>
        </is>
      </c>
      <c r="E579" t="inlineStr">
        <is>
          <t>Report</t>
        </is>
      </c>
      <c r="F579" s="25">
        <f>VLOOKUP(E579,Assumptions!$A$5:$B$8,2,0)</f>
        <v/>
      </c>
    </row>
    <row r="580">
      <c r="A580" t="inlineStr">
        <is>
          <t>Reports</t>
        </is>
      </c>
      <c r="B580" t="inlineStr">
        <is>
          <t>RetailBanking</t>
        </is>
      </c>
      <c r="C580" t="inlineStr">
        <is>
          <t>CashTDSReport.aspx</t>
        </is>
      </c>
      <c r="D580" t="inlineStr">
        <is>
          <t>Reports/RetailBanking/CashTDSReport.aspx</t>
        </is>
      </c>
      <c r="E580" t="inlineStr">
        <is>
          <t>Report</t>
        </is>
      </c>
      <c r="F580" s="25">
        <f>VLOOKUP(E580,Assumptions!$A$5:$B$8,2,0)</f>
        <v/>
      </c>
    </row>
    <row r="581">
      <c r="A581" t="inlineStr">
        <is>
          <t>Reports</t>
        </is>
      </c>
      <c r="B581" t="inlineStr">
        <is>
          <t>RetailBanking</t>
        </is>
      </c>
      <c r="C581" t="inlineStr">
        <is>
          <t>ChargesRecReport.aspx</t>
        </is>
      </c>
      <c r="D581" t="inlineStr">
        <is>
          <t>Reports/RetailBanking/ChargesRecReport.aspx</t>
        </is>
      </c>
      <c r="E581" t="inlineStr">
        <is>
          <t>Report</t>
        </is>
      </c>
      <c r="F581" s="25">
        <f>VLOOKUP(E581,Assumptions!$A$5:$B$8,2,0)</f>
        <v/>
      </c>
    </row>
    <row r="582">
      <c r="A582" t="inlineStr">
        <is>
          <t>Reports</t>
        </is>
      </c>
      <c r="B582" t="inlineStr">
        <is>
          <t>RetailBanking</t>
        </is>
      </c>
      <c r="C582" t="inlineStr">
        <is>
          <t>ChargesRecRpt.aspx</t>
        </is>
      </c>
      <c r="D582" t="inlineStr">
        <is>
          <t>Reports/RetailBanking/ChargesRecRpt.aspx</t>
        </is>
      </c>
      <c r="E582" t="inlineStr">
        <is>
          <t>Report</t>
        </is>
      </c>
      <c r="F582" s="25">
        <f>VLOOKUP(E582,Assumptions!$A$5:$B$8,2,0)</f>
        <v/>
      </c>
    </row>
    <row r="583">
      <c r="A583" t="inlineStr">
        <is>
          <t>Reports</t>
        </is>
      </c>
      <c r="B583" t="inlineStr">
        <is>
          <t>RetailBanking</t>
        </is>
      </c>
      <c r="C583" t="inlineStr">
        <is>
          <t>ChargesReport.aspx</t>
        </is>
      </c>
      <c r="D583" t="inlineStr">
        <is>
          <t>Reports/RetailBanking/ChargesReport.aspx</t>
        </is>
      </c>
      <c r="E583" t="inlineStr">
        <is>
          <t>Report</t>
        </is>
      </c>
      <c r="F583" s="25">
        <f>VLOOKUP(E583,Assumptions!$A$5:$B$8,2,0)</f>
        <v/>
      </c>
    </row>
    <row r="584">
      <c r="A584" t="inlineStr">
        <is>
          <t>Reports</t>
        </is>
      </c>
      <c r="B584" t="inlineStr">
        <is>
          <t>RetailBanking</t>
        </is>
      </c>
      <c r="C584" t="inlineStr">
        <is>
          <t>CentralizeOWClearingReport.aspx</t>
        </is>
      </c>
      <c r="D584" t="inlineStr">
        <is>
          <t>Reports/RetailBanking/Clearing/CentralizeOWClearingReport.aspx</t>
        </is>
      </c>
      <c r="E584" t="inlineStr">
        <is>
          <t>Report</t>
        </is>
      </c>
      <c r="F584" s="25">
        <f>VLOOKUP(E584,Assumptions!$A$5:$B$8,2,0)</f>
        <v/>
      </c>
    </row>
    <row r="585">
      <c r="A585" t="inlineStr">
        <is>
          <t>Reports</t>
        </is>
      </c>
      <c r="B585" t="inlineStr">
        <is>
          <t>RetailBanking</t>
        </is>
      </c>
      <c r="C585" t="inlineStr">
        <is>
          <t>ClearingReportSettings.aspx</t>
        </is>
      </c>
      <c r="D585" t="inlineStr">
        <is>
          <t>Reports/RetailBanking/Clearing/ClearingReportSettings.aspx</t>
        </is>
      </c>
      <c r="E585" t="inlineStr">
        <is>
          <t>Report</t>
        </is>
      </c>
      <c r="F585" s="25">
        <f>VLOOKUP(E585,Assumptions!$A$5:$B$8,2,0)</f>
        <v/>
      </c>
    </row>
    <row r="586">
      <c r="A586" t="inlineStr">
        <is>
          <t>Reports</t>
        </is>
      </c>
      <c r="B586" t="inlineStr">
        <is>
          <t>RetailBanking</t>
        </is>
      </c>
      <c r="C586" t="inlineStr">
        <is>
          <t>CtsOWContclrEntShift.aspx</t>
        </is>
      </c>
      <c r="D586" t="inlineStr">
        <is>
          <t>Reports/RetailBanking/Clearing/CtsOWContclrEntShift.aspx</t>
        </is>
      </c>
      <c r="E586" t="inlineStr">
        <is>
          <t>Report</t>
        </is>
      </c>
      <c r="F586" s="25">
        <f>VLOOKUP(E586,Assumptions!$A$5:$B$8,2,0)</f>
        <v/>
      </c>
    </row>
    <row r="587">
      <c r="A587" t="inlineStr">
        <is>
          <t>Reports</t>
        </is>
      </c>
      <c r="B587" t="inlineStr">
        <is>
          <t>RetailBanking</t>
        </is>
      </c>
      <c r="C587" t="inlineStr">
        <is>
          <t>HoldChequeDet.aspx</t>
        </is>
      </c>
      <c r="D587" t="inlineStr">
        <is>
          <t>Reports/RetailBanking/Clearing/HoldChequeDet.aspx</t>
        </is>
      </c>
      <c r="E587" t="inlineStr">
        <is>
          <t>Report</t>
        </is>
      </c>
      <c r="F587" s="25">
        <f>VLOOKUP(E587,Assumptions!$A$5:$B$8,2,0)</f>
        <v/>
      </c>
    </row>
    <row r="588">
      <c r="A588" t="inlineStr">
        <is>
          <t>Reports</t>
        </is>
      </c>
      <c r="B588" t="inlineStr">
        <is>
          <t>RetailBanking</t>
        </is>
      </c>
      <c r="C588" t="inlineStr">
        <is>
          <t>InwOutSubMemClearingReports.aspx</t>
        </is>
      </c>
      <c r="D588" t="inlineStr">
        <is>
          <t>Reports/RetailBanking/Clearing/InwOutSubMemClearingReports.aspx</t>
        </is>
      </c>
      <c r="E588" t="inlineStr">
        <is>
          <t>Report</t>
        </is>
      </c>
      <c r="F588" s="25">
        <f>VLOOKUP(E588,Assumptions!$A$5:$B$8,2,0)</f>
        <v/>
      </c>
    </row>
    <row r="589">
      <c r="A589" t="inlineStr">
        <is>
          <t>Reports</t>
        </is>
      </c>
      <c r="B589" t="inlineStr">
        <is>
          <t>RetailBanking</t>
        </is>
      </c>
      <c r="C589" t="inlineStr">
        <is>
          <t>InwardA6Report.aspx</t>
        </is>
      </c>
      <c r="D589" t="inlineStr">
        <is>
          <t>Reports/RetailBanking/Clearing/InwardA6Report.aspx</t>
        </is>
      </c>
      <c r="E589" t="inlineStr">
        <is>
          <t>Report</t>
        </is>
      </c>
      <c r="F589" s="25">
        <f>VLOOKUP(E589,Assumptions!$A$5:$B$8,2,0)</f>
        <v/>
      </c>
    </row>
    <row r="590">
      <c r="A590" t="inlineStr">
        <is>
          <t>Reports</t>
        </is>
      </c>
      <c r="B590" t="inlineStr">
        <is>
          <t>RetailBanking</t>
        </is>
      </c>
      <c r="C590" t="inlineStr">
        <is>
          <t>InwardReturnSummaryReport.aspx</t>
        </is>
      </c>
      <c r="D590" t="inlineStr">
        <is>
          <t>Reports/RetailBanking/Clearing/InwardReturnSummaryReport.aspx</t>
        </is>
      </c>
      <c r="E590" t="inlineStr">
        <is>
          <t>Report</t>
        </is>
      </c>
      <c r="F590" s="25">
        <f>VLOOKUP(E590,Assumptions!$A$5:$B$8,2,0)</f>
        <v/>
      </c>
    </row>
    <row r="591">
      <c r="A591" t="inlineStr">
        <is>
          <t>Reports</t>
        </is>
      </c>
      <c r="B591" t="inlineStr">
        <is>
          <t>RetailBanking</t>
        </is>
      </c>
      <c r="C591" t="inlineStr">
        <is>
          <t>IwChequeShiftReport.aspx</t>
        </is>
      </c>
      <c r="D591" t="inlineStr">
        <is>
          <t>Reports/RetailBanking/Clearing/IwChequeShiftReport.aspx</t>
        </is>
      </c>
      <c r="E591" t="inlineStr">
        <is>
          <t>Report</t>
        </is>
      </c>
      <c r="F591" s="25">
        <f>VLOOKUP(E591,Assumptions!$A$5:$B$8,2,0)</f>
        <v/>
      </c>
    </row>
    <row r="592">
      <c r="A592" t="inlineStr">
        <is>
          <t>Reports</t>
        </is>
      </c>
      <c r="B592" t="inlineStr">
        <is>
          <t>RetailBanking</t>
        </is>
      </c>
      <c r="C592" t="inlineStr">
        <is>
          <t>IwOwClrSummary.aspx</t>
        </is>
      </c>
      <c r="D592" t="inlineStr">
        <is>
          <t>Reports/RetailBanking/Clearing/IwOwClrSummary.aspx</t>
        </is>
      </c>
      <c r="E592" t="inlineStr">
        <is>
          <t>Report</t>
        </is>
      </c>
      <c r="F592" s="25">
        <f>VLOOKUP(E592,Assumptions!$A$5:$B$8,2,0)</f>
        <v/>
      </c>
    </row>
    <row r="593">
      <c r="A593" t="inlineStr">
        <is>
          <t>Reports</t>
        </is>
      </c>
      <c r="B593" t="inlineStr">
        <is>
          <t>RetailBanking</t>
        </is>
      </c>
      <c r="C593" t="inlineStr">
        <is>
          <t>IwProbableReturnReport.aspx</t>
        </is>
      </c>
      <c r="D593" t="inlineStr">
        <is>
          <t>Reports/RetailBanking/Clearing/IwProbableReturnReport.aspx</t>
        </is>
      </c>
      <c r="E593" t="inlineStr">
        <is>
          <t>Report</t>
        </is>
      </c>
      <c r="F593" s="25">
        <f>VLOOKUP(E593,Assumptions!$A$5:$B$8,2,0)</f>
        <v/>
      </c>
    </row>
    <row r="594">
      <c r="A594" t="inlineStr">
        <is>
          <t>Reports</t>
        </is>
      </c>
      <c r="B594" t="inlineStr">
        <is>
          <t>RetailBanking</t>
        </is>
      </c>
      <c r="C594" t="inlineStr">
        <is>
          <t>OwRecPayDetail.aspx</t>
        </is>
      </c>
      <c r="D594" t="inlineStr">
        <is>
          <t>Reports/RetailBanking/Clearing/OwRecPayDetail.aspx</t>
        </is>
      </c>
      <c r="E594" t="inlineStr">
        <is>
          <t>Report</t>
        </is>
      </c>
      <c r="F594" s="25">
        <f>VLOOKUP(E594,Assumptions!$A$5:$B$8,2,0)</f>
        <v/>
      </c>
    </row>
    <row r="595">
      <c r="A595" t="inlineStr">
        <is>
          <t>Reports</t>
        </is>
      </c>
      <c r="B595" t="inlineStr">
        <is>
          <t>RetailBanking</t>
        </is>
      </c>
      <c r="C595" t="inlineStr">
        <is>
          <t>OwRegisterReport.aspx</t>
        </is>
      </c>
      <c r="D595" t="inlineStr">
        <is>
          <t>Reports/RetailBanking/Clearing/OwRegisterReport.aspx</t>
        </is>
      </c>
      <c r="E595" t="inlineStr">
        <is>
          <t>Report</t>
        </is>
      </c>
      <c r="F595" s="25">
        <f>VLOOKUP(E595,Assumptions!$A$5:$B$8,2,0)</f>
        <v/>
      </c>
    </row>
    <row r="596">
      <c r="A596" t="inlineStr">
        <is>
          <t>Reports</t>
        </is>
      </c>
      <c r="B596" t="inlineStr">
        <is>
          <t>RetailBanking</t>
        </is>
      </c>
      <c r="C596" t="inlineStr">
        <is>
          <t>OwReturnBnSummary.aspx</t>
        </is>
      </c>
      <c r="D596" t="inlineStr">
        <is>
          <t>Reports/RetailBanking/Clearing/OwReturnBnSummary.aspx</t>
        </is>
      </c>
      <c r="E596" t="inlineStr">
        <is>
          <t>Report</t>
        </is>
      </c>
      <c r="F596" s="25">
        <f>VLOOKUP(E596,Assumptions!$A$5:$B$8,2,0)</f>
        <v/>
      </c>
    </row>
    <row r="597">
      <c r="A597" t="inlineStr">
        <is>
          <t>Reports</t>
        </is>
      </c>
      <c r="B597" t="inlineStr">
        <is>
          <t>RetailBanking</t>
        </is>
      </c>
      <c r="C597" t="inlineStr">
        <is>
          <t>PositivePaydetailsReport.aspx</t>
        </is>
      </c>
      <c r="D597" t="inlineStr">
        <is>
          <t>Reports/RetailBanking/Clearing/PositivePaydetailsReport.aspx</t>
        </is>
      </c>
      <c r="E597" t="inlineStr">
        <is>
          <t>Report</t>
        </is>
      </c>
      <c r="F597" s="25">
        <f>VLOOKUP(E597,Assumptions!$A$5:$B$8,2,0)</f>
        <v/>
      </c>
    </row>
    <row r="598">
      <c r="A598" t="inlineStr">
        <is>
          <t>Reports</t>
        </is>
      </c>
      <c r="B598" t="inlineStr">
        <is>
          <t>RetailBanking</t>
        </is>
      </c>
      <c r="C598" t="inlineStr">
        <is>
          <t>SubMemberPosition.aspx</t>
        </is>
      </c>
      <c r="D598" t="inlineStr">
        <is>
          <t>Reports/RetailBanking/Clearing/SubMemberPosition.aspx</t>
        </is>
      </c>
      <c r="E598" t="inlineStr">
        <is>
          <t>Report</t>
        </is>
      </c>
      <c r="F598" s="25">
        <f>VLOOKUP(E598,Assumptions!$A$5:$B$8,2,0)</f>
        <v/>
      </c>
    </row>
    <row r="599">
      <c r="A599" t="inlineStr">
        <is>
          <t>Reports</t>
        </is>
      </c>
      <c r="B599" t="inlineStr">
        <is>
          <t>RetailBanking</t>
        </is>
      </c>
      <c r="C599" t="inlineStr">
        <is>
          <t>ClientAccountInfo.aspx</t>
        </is>
      </c>
      <c r="D599" t="inlineStr">
        <is>
          <t>Reports/RetailBanking/ClientAccountInfo.aspx</t>
        </is>
      </c>
      <c r="E599" t="inlineStr">
        <is>
          <t>Report</t>
        </is>
      </c>
      <c r="F599" s="25">
        <f>VLOOKUP(E599,Assumptions!$A$5:$B$8,2,0)</f>
        <v/>
      </c>
    </row>
    <row r="600">
      <c r="A600" t="inlineStr">
        <is>
          <t>Reports</t>
        </is>
      </c>
      <c r="B600" t="inlineStr">
        <is>
          <t>RetailBanking</t>
        </is>
      </c>
      <c r="C600" t="inlineStr">
        <is>
          <t>ClientModLog.aspx</t>
        </is>
      </c>
      <c r="D600" t="inlineStr">
        <is>
          <t>Reports/RetailBanking/ClientModLog.aspx</t>
        </is>
      </c>
      <c r="E600" t="inlineStr">
        <is>
          <t>Report</t>
        </is>
      </c>
      <c r="F600" s="25">
        <f>VLOOKUP(E600,Assumptions!$A$5:$B$8,2,0)</f>
        <v/>
      </c>
    </row>
    <row r="601">
      <c r="A601" t="inlineStr">
        <is>
          <t>Reports</t>
        </is>
      </c>
      <c r="B601" t="inlineStr">
        <is>
          <t>RetailBanking</t>
        </is>
      </c>
      <c r="C601" t="inlineStr">
        <is>
          <t>ClientWithTerrorist.aspx</t>
        </is>
      </c>
      <c r="D601" t="inlineStr">
        <is>
          <t>Reports/RetailBanking/ClientWithTerrorist.aspx</t>
        </is>
      </c>
      <c r="E601" t="inlineStr">
        <is>
          <t>Report</t>
        </is>
      </c>
      <c r="F601" s="25">
        <f>VLOOKUP(E601,Assumptions!$A$5:$B$8,2,0)</f>
        <v/>
      </c>
    </row>
    <row r="602">
      <c r="A602" t="inlineStr">
        <is>
          <t>Reports</t>
        </is>
      </c>
      <c r="B602" t="inlineStr">
        <is>
          <t>RetailBanking</t>
        </is>
      </c>
      <c r="C602" t="inlineStr">
        <is>
          <t>ComparativeChartReport.aspx</t>
        </is>
      </c>
      <c r="D602" t="inlineStr">
        <is>
          <t>Reports/RetailBanking/ComparativeChartReport.aspx</t>
        </is>
      </c>
      <c r="E602" t="inlineStr">
        <is>
          <t>Report</t>
        </is>
      </c>
      <c r="F602" s="25">
        <f>VLOOKUP(E602,Assumptions!$A$5:$B$8,2,0)</f>
        <v/>
      </c>
    </row>
    <row r="603">
      <c r="A603" t="inlineStr">
        <is>
          <t>Reports</t>
        </is>
      </c>
      <c r="B603" t="inlineStr">
        <is>
          <t>RetailBanking</t>
        </is>
      </c>
      <c r="C603" t="inlineStr">
        <is>
          <t>CounterfeitNotesReceipt.aspx</t>
        </is>
      </c>
      <c r="D603" t="inlineStr">
        <is>
          <t>Reports/RetailBanking/CounterfeitNotesReceipt.aspx</t>
        </is>
      </c>
      <c r="E603" t="inlineStr">
        <is>
          <t>Report</t>
        </is>
      </c>
      <c r="F603" s="25">
        <f>VLOOKUP(E603,Assumptions!$A$5:$B$8,2,0)</f>
        <v/>
      </c>
    </row>
    <row r="604">
      <c r="A604" t="inlineStr">
        <is>
          <t>Reports</t>
        </is>
      </c>
      <c r="B604" t="inlineStr">
        <is>
          <t>RetailBanking</t>
        </is>
      </c>
      <c r="C604" t="inlineStr">
        <is>
          <t>CustAccInfoPrint.aspx</t>
        </is>
      </c>
      <c r="D604" t="inlineStr">
        <is>
          <t>Reports/RetailBanking/CustAccInfoPrint.aspx</t>
        </is>
      </c>
      <c r="E604" t="inlineStr">
        <is>
          <t>Report</t>
        </is>
      </c>
      <c r="F604" s="25">
        <f>VLOOKUP(E604,Assumptions!$A$5:$B$8,2,0)</f>
        <v/>
      </c>
    </row>
    <row r="605">
      <c r="A605" t="inlineStr">
        <is>
          <t>Reports</t>
        </is>
      </c>
      <c r="B605" t="inlineStr">
        <is>
          <t>RetailBanking</t>
        </is>
      </c>
      <c r="C605" t="inlineStr">
        <is>
          <t>DCBS.aspx</t>
        </is>
      </c>
      <c r="D605" t="inlineStr">
        <is>
          <t>Reports/RetailBanking/DCBS/DCBS.aspx</t>
        </is>
      </c>
      <c r="E605" t="inlineStr">
        <is>
          <t>Report</t>
        </is>
      </c>
      <c r="F605" s="25">
        <f>VLOOKUP(E605,Assumptions!$A$5:$B$8,2,0)</f>
        <v/>
      </c>
    </row>
    <row r="606">
      <c r="A606" t="inlineStr">
        <is>
          <t>Reports</t>
        </is>
      </c>
      <c r="B606" t="inlineStr">
        <is>
          <t>RetailBanking</t>
        </is>
      </c>
      <c r="C606" t="inlineStr">
        <is>
          <t>DCC_RBI_Report.aspx</t>
        </is>
      </c>
      <c r="D606" t="inlineStr">
        <is>
          <t>Reports/RetailBanking/DCC_RBI_Report/DCC_RBI_Report.aspx</t>
        </is>
      </c>
      <c r="E606" t="inlineStr">
        <is>
          <t>Report</t>
        </is>
      </c>
      <c r="F606" s="25">
        <f>VLOOKUP(E606,Assumptions!$A$5:$B$8,2,0)</f>
        <v/>
      </c>
    </row>
    <row r="607">
      <c r="A607" t="inlineStr">
        <is>
          <t>Reports</t>
        </is>
      </c>
      <c r="B607" t="inlineStr">
        <is>
          <t>RetailBanking</t>
        </is>
      </c>
      <c r="C607" t="inlineStr">
        <is>
          <t>DDPOReportSettings.aspx</t>
        </is>
      </c>
      <c r="D607" t="inlineStr">
        <is>
          <t>Reports/RetailBanking/DDPOReports/DDPOReportSettings.aspx</t>
        </is>
      </c>
      <c r="E607" t="inlineStr">
        <is>
          <t>Report</t>
        </is>
      </c>
      <c r="F607" s="25">
        <f>VLOOKUP(E607,Assumptions!$A$5:$B$8,2,0)</f>
        <v/>
      </c>
    </row>
    <row r="608">
      <c r="A608" t="inlineStr">
        <is>
          <t>Reports</t>
        </is>
      </c>
      <c r="B608" t="inlineStr">
        <is>
          <t>RetailBanking</t>
        </is>
      </c>
      <c r="C608" t="inlineStr">
        <is>
          <t>DailyReportSetting.aspx</t>
        </is>
      </c>
      <c r="D608" t="inlineStr">
        <is>
          <t>Reports/RetailBanking/Daily Report/DailyReportSetting.aspx</t>
        </is>
      </c>
      <c r="E608" t="inlineStr">
        <is>
          <t>Report</t>
        </is>
      </c>
      <c r="F608" s="25">
        <f>VLOOKUP(E608,Assumptions!$A$5:$B$8,2,0)</f>
        <v/>
      </c>
    </row>
    <row r="609">
      <c r="A609" t="inlineStr">
        <is>
          <t>Reports</t>
        </is>
      </c>
      <c r="B609" t="inlineStr">
        <is>
          <t>RetailBanking</t>
        </is>
      </c>
      <c r="C609" t="inlineStr">
        <is>
          <t>DataComareReports.aspx</t>
        </is>
      </c>
      <c r="D609" t="inlineStr">
        <is>
          <t>Reports/RetailBanking/DataComareReports.aspx</t>
        </is>
      </c>
      <c r="E609" t="inlineStr">
        <is>
          <t>Report</t>
        </is>
      </c>
      <c r="F609" s="25">
        <f>VLOOKUP(E609,Assumptions!$A$5:$B$8,2,0)</f>
        <v/>
      </c>
    </row>
    <row r="610">
      <c r="A610" t="inlineStr">
        <is>
          <t>Reports</t>
        </is>
      </c>
      <c r="B610" t="inlineStr">
        <is>
          <t>RetailBanking</t>
        </is>
      </c>
      <c r="C610" t="inlineStr">
        <is>
          <t>DayWiseInterestProduct.aspx</t>
        </is>
      </c>
      <c r="D610" t="inlineStr">
        <is>
          <t>Reports/RetailBanking/DayWiseInterestProduct.aspx</t>
        </is>
      </c>
      <c r="E610" t="inlineStr">
        <is>
          <t>Report</t>
        </is>
      </c>
      <c r="F610" s="25">
        <f>VLOOKUP(E610,Assumptions!$A$5:$B$8,2,0)</f>
        <v/>
      </c>
    </row>
    <row r="611">
      <c r="A611" t="inlineStr">
        <is>
          <t>Reports</t>
        </is>
      </c>
      <c r="B611" t="inlineStr">
        <is>
          <t>RetailBanking</t>
        </is>
      </c>
      <c r="C611" t="inlineStr">
        <is>
          <t>DeathClaimReport.aspx</t>
        </is>
      </c>
      <c r="D611" t="inlineStr">
        <is>
          <t>Reports/RetailBanking/DeathClaim/DeathClaimReport.aspx</t>
        </is>
      </c>
      <c r="E611" t="inlineStr">
        <is>
          <t>Report</t>
        </is>
      </c>
      <c r="F611" s="25">
        <f>VLOOKUP(E611,Assumptions!$A$5:$B$8,2,0)</f>
        <v/>
      </c>
    </row>
    <row r="612">
      <c r="A612" t="inlineStr">
        <is>
          <t>Reports</t>
        </is>
      </c>
      <c r="B612" t="inlineStr">
        <is>
          <t>RetailBanking</t>
        </is>
      </c>
      <c r="C612" t="inlineStr">
        <is>
          <t>DemandCollection.aspx</t>
        </is>
      </c>
      <c r="D612" t="inlineStr">
        <is>
          <t>Reports/RetailBanking/DemandCollection.aspx</t>
        </is>
      </c>
      <c r="E612" t="inlineStr">
        <is>
          <t>Report</t>
        </is>
      </c>
      <c r="F612" s="25">
        <f>VLOOKUP(E612,Assumptions!$A$5:$B$8,2,0)</f>
        <v/>
      </c>
    </row>
    <row r="613">
      <c r="A613" t="inlineStr">
        <is>
          <t>Reports</t>
        </is>
      </c>
      <c r="B613" t="inlineStr">
        <is>
          <t>RetailBanking</t>
        </is>
      </c>
      <c r="C613" t="inlineStr">
        <is>
          <t>DemandCollectionBalanceDCCYearly.aspx</t>
        </is>
      </c>
      <c r="D613" t="inlineStr">
        <is>
          <t>Reports/RetailBanking/DemandCollectionBalanceDCCYearly.aspx</t>
        </is>
      </c>
      <c r="E613" t="inlineStr">
        <is>
          <t>Report</t>
        </is>
      </c>
      <c r="F613" s="25">
        <f>VLOOKUP(E613,Assumptions!$A$5:$B$8,2,0)</f>
        <v/>
      </c>
    </row>
    <row r="614">
      <c r="A614" t="inlineStr">
        <is>
          <t>Reports</t>
        </is>
      </c>
      <c r="B614" t="inlineStr">
        <is>
          <t>RetailBanking</t>
        </is>
      </c>
      <c r="C614" t="inlineStr">
        <is>
          <t>DemandGenerationReport.aspx</t>
        </is>
      </c>
      <c r="D614" t="inlineStr">
        <is>
          <t>Reports/RetailBanking/DemandGenerationReport.aspx</t>
        </is>
      </c>
      <c r="E614" t="inlineStr">
        <is>
          <t>Report</t>
        </is>
      </c>
      <c r="F614" s="25">
        <f>VLOOKUP(E614,Assumptions!$A$5:$B$8,2,0)</f>
        <v/>
      </c>
    </row>
    <row r="615">
      <c r="A615" t="inlineStr">
        <is>
          <t>Reports</t>
        </is>
      </c>
      <c r="B615" t="inlineStr">
        <is>
          <t>RetailBanking</t>
        </is>
      </c>
      <c r="C615" t="inlineStr">
        <is>
          <t>DepAdvInterestLog.aspx</t>
        </is>
      </c>
      <c r="D615" t="inlineStr">
        <is>
          <t>Reports/RetailBanking/DepAdvInterestLog.aspx</t>
        </is>
      </c>
      <c r="E615" t="inlineStr">
        <is>
          <t>Report</t>
        </is>
      </c>
      <c r="F615" s="25">
        <f>VLOOKUP(E615,Assumptions!$A$5:$B$8,2,0)</f>
        <v/>
      </c>
    </row>
    <row r="616">
      <c r="A616" t="inlineStr">
        <is>
          <t>Reports</t>
        </is>
      </c>
      <c r="B616" t="inlineStr">
        <is>
          <t>RetailBanking</t>
        </is>
      </c>
      <c r="C616" t="inlineStr">
        <is>
          <t>DepAdvQtrAnnex.aspx</t>
        </is>
      </c>
      <c r="D616" t="inlineStr">
        <is>
          <t>Reports/RetailBanking/DepAdvQtrAnnex.aspx</t>
        </is>
      </c>
      <c r="E616" t="inlineStr">
        <is>
          <t>Report</t>
        </is>
      </c>
      <c r="F616" s="25">
        <f>VLOOKUP(E616,Assumptions!$A$5:$B$8,2,0)</f>
        <v/>
      </c>
    </row>
    <row r="617">
      <c r="A617" t="inlineStr">
        <is>
          <t>Reports</t>
        </is>
      </c>
      <c r="B617" t="inlineStr">
        <is>
          <t>RetailBanking</t>
        </is>
      </c>
      <c r="C617" t="inlineStr">
        <is>
          <t>DepositRatePeriodWise.aspx</t>
        </is>
      </c>
      <c r="D617" t="inlineStr">
        <is>
          <t>Reports/RetailBanking/DepositRatePeriodWise.aspx</t>
        </is>
      </c>
      <c r="E617" t="inlineStr">
        <is>
          <t>Report</t>
        </is>
      </c>
      <c r="F617" s="25">
        <f>VLOOKUP(E617,Assumptions!$A$5:$B$8,2,0)</f>
        <v/>
      </c>
    </row>
    <row r="618">
      <c r="A618" t="inlineStr">
        <is>
          <t>Reports</t>
        </is>
      </c>
      <c r="B618" t="inlineStr">
        <is>
          <t>RetailBanking</t>
        </is>
      </c>
      <c r="C618" t="inlineStr">
        <is>
          <t>DocumentExpiryReport.aspx</t>
        </is>
      </c>
      <c r="D618" t="inlineStr">
        <is>
          <t>Reports/RetailBanking/DocumentExpiryReport.aspx</t>
        </is>
      </c>
      <c r="E618" t="inlineStr">
        <is>
          <t>Report</t>
        </is>
      </c>
      <c r="F618" s="25">
        <f>VLOOKUP(E618,Assumptions!$A$5:$B$8,2,0)</f>
        <v/>
      </c>
    </row>
    <row r="619">
      <c r="A619" t="inlineStr">
        <is>
          <t>Reports</t>
        </is>
      </c>
      <c r="B619" t="inlineStr">
        <is>
          <t>RetailBanking</t>
        </is>
      </c>
      <c r="C619" t="inlineStr">
        <is>
          <t>ECSBankToSubMemShift.aspx</t>
        </is>
      </c>
      <c r="D619" t="inlineStr">
        <is>
          <t>Reports/RetailBanking/ECS/ECSBankToSubMemShift.aspx</t>
        </is>
      </c>
      <c r="E619" t="inlineStr">
        <is>
          <t>Report</t>
        </is>
      </c>
      <c r="F619" s="25">
        <f>VLOOKUP(E619,Assumptions!$A$5:$B$8,2,0)</f>
        <v/>
      </c>
    </row>
    <row r="620">
      <c r="A620" t="inlineStr">
        <is>
          <t>Reports</t>
        </is>
      </c>
      <c r="B620" t="inlineStr">
        <is>
          <t>RetailBanking</t>
        </is>
      </c>
      <c r="C620" t="inlineStr">
        <is>
          <t>ECSReportSettings.aspx</t>
        </is>
      </c>
      <c r="D620" t="inlineStr">
        <is>
          <t>Reports/RetailBanking/ECS/ECSReportSettings.aspx</t>
        </is>
      </c>
      <c r="E620" t="inlineStr">
        <is>
          <t>Report</t>
        </is>
      </c>
      <c r="F620" s="25">
        <f>VLOOKUP(E620,Assumptions!$A$5:$B$8,2,0)</f>
        <v/>
      </c>
    </row>
    <row r="621">
      <c r="A621" t="inlineStr">
        <is>
          <t>Reports</t>
        </is>
      </c>
      <c r="B621" t="inlineStr">
        <is>
          <t>RetailBanking</t>
        </is>
      </c>
      <c r="C621" t="inlineStr">
        <is>
          <t>ExceptionalReport.aspx</t>
        </is>
      </c>
      <c r="D621" t="inlineStr">
        <is>
          <t>Reports/RetailBanking/ExceptionalReport.aspx</t>
        </is>
      </c>
      <c r="E621" t="inlineStr">
        <is>
          <t>Report</t>
        </is>
      </c>
      <c r="F621" s="25">
        <f>VLOOKUP(E621,Assumptions!$A$5:$B$8,2,0)</f>
        <v/>
      </c>
    </row>
    <row r="622">
      <c r="A622" t="inlineStr">
        <is>
          <t>Reports</t>
        </is>
      </c>
      <c r="B622" t="inlineStr">
        <is>
          <t>RetailBanking</t>
        </is>
      </c>
      <c r="C622" t="inlineStr">
        <is>
          <t>ExcessCashReport.aspx</t>
        </is>
      </c>
      <c r="D622" t="inlineStr">
        <is>
          <t>Reports/RetailBanking/ExcessCashReport.aspx</t>
        </is>
      </c>
      <c r="E622" t="inlineStr">
        <is>
          <t>Report</t>
        </is>
      </c>
      <c r="F622" s="25">
        <f>VLOOKUP(E622,Assumptions!$A$5:$B$8,2,0)</f>
        <v/>
      </c>
    </row>
    <row r="623">
      <c r="A623" t="inlineStr">
        <is>
          <t>Reports</t>
        </is>
      </c>
      <c r="B623" t="inlineStr">
        <is>
          <t>RetailBanking</t>
        </is>
      </c>
      <c r="C623" t="inlineStr">
        <is>
          <t>FDMatNotPaidsummary.aspx</t>
        </is>
      </c>
      <c r="D623" t="inlineStr">
        <is>
          <t>Reports/RetailBanking/FDMatNotPaidsummary.aspx</t>
        </is>
      </c>
      <c r="E623" t="inlineStr">
        <is>
          <t>Report</t>
        </is>
      </c>
      <c r="F623" s="25">
        <f>VLOOKUP(E623,Assumptions!$A$5:$B$8,2,0)</f>
        <v/>
      </c>
    </row>
    <row r="624">
      <c r="A624" t="inlineStr">
        <is>
          <t>Reports</t>
        </is>
      </c>
      <c r="B624" t="inlineStr">
        <is>
          <t>RetailBanking</t>
        </is>
      </c>
      <c r="C624" t="inlineStr">
        <is>
          <t>FDRReportSettings.aspx</t>
        </is>
      </c>
      <c r="D624" t="inlineStr">
        <is>
          <t>Reports/RetailBanking/FDR/FDRReportSettings.aspx</t>
        </is>
      </c>
      <c r="E624" t="inlineStr">
        <is>
          <t>Report</t>
        </is>
      </c>
      <c r="F624" s="25">
        <f>VLOOKUP(E624,Assumptions!$A$5:$B$8,2,0)</f>
        <v/>
      </c>
    </row>
    <row r="625">
      <c r="A625" t="inlineStr">
        <is>
          <t>Reports</t>
        </is>
      </c>
      <c r="B625" t="inlineStr">
        <is>
          <t>RetailBanking</t>
        </is>
      </c>
      <c r="C625" t="inlineStr">
        <is>
          <t>FutureFDRenewal.aspx</t>
        </is>
      </c>
      <c r="D625" t="inlineStr">
        <is>
          <t>Reports/RetailBanking/FDR/FutureFDRenewal.aspx</t>
        </is>
      </c>
      <c r="E625" t="inlineStr">
        <is>
          <t>Report</t>
        </is>
      </c>
      <c r="F625" s="25">
        <f>VLOOKUP(E625,Assumptions!$A$5:$B$8,2,0)</f>
        <v/>
      </c>
    </row>
    <row r="626">
      <c r="A626" t="inlineStr">
        <is>
          <t>Reports</t>
        </is>
      </c>
      <c r="B626" t="inlineStr">
        <is>
          <t>RetailBanking</t>
        </is>
      </c>
      <c r="C626" t="inlineStr">
        <is>
          <t>FDRenewalReport.aspx</t>
        </is>
      </c>
      <c r="D626" t="inlineStr">
        <is>
          <t>Reports/RetailBanking/FDRenewalReport.aspx</t>
        </is>
      </c>
      <c r="E626" t="inlineStr">
        <is>
          <t>Report</t>
        </is>
      </c>
      <c r="F626" s="25">
        <f>VLOOKUP(E626,Assumptions!$A$5:$B$8,2,0)</f>
        <v/>
      </c>
    </row>
    <row r="627">
      <c r="A627" t="inlineStr">
        <is>
          <t>Reports</t>
        </is>
      </c>
      <c r="B627" t="inlineStr">
        <is>
          <t>RetailBanking</t>
        </is>
      </c>
      <c r="C627" t="inlineStr">
        <is>
          <t>Form60.aspx</t>
        </is>
      </c>
      <c r="D627" t="inlineStr">
        <is>
          <t>Reports/RetailBanking/Form60.aspx</t>
        </is>
      </c>
      <c r="E627" t="inlineStr">
        <is>
          <t>Report</t>
        </is>
      </c>
      <c r="F627" s="25">
        <f>VLOOKUP(E627,Assumptions!$A$5:$B$8,2,0)</f>
        <v/>
      </c>
    </row>
    <row r="628">
      <c r="A628" t="inlineStr">
        <is>
          <t>Reports</t>
        </is>
      </c>
      <c r="B628" t="inlineStr">
        <is>
          <t>RetailBanking</t>
        </is>
      </c>
      <c r="C628" t="inlineStr">
        <is>
          <t>FutureIntNotice.aspx</t>
        </is>
      </c>
      <c r="D628" t="inlineStr">
        <is>
          <t>Reports/RetailBanking/FutureIntNotice.aspx</t>
        </is>
      </c>
      <c r="E628" t="inlineStr">
        <is>
          <t>Report</t>
        </is>
      </c>
      <c r="F628" s="25">
        <f>VLOOKUP(E628,Assumptions!$A$5:$B$8,2,0)</f>
        <v/>
      </c>
    </row>
    <row r="629">
      <c r="A629" t="inlineStr">
        <is>
          <t>Reports</t>
        </is>
      </c>
      <c r="B629" t="inlineStr">
        <is>
          <t>RetailBanking</t>
        </is>
      </c>
      <c r="C629" t="inlineStr">
        <is>
          <t>FutureIntNoticeV1.aspx</t>
        </is>
      </c>
      <c r="D629" t="inlineStr">
        <is>
          <t>Reports/RetailBanking/FutureIntNoticeV1.aspx</t>
        </is>
      </c>
      <c r="E629" t="inlineStr">
        <is>
          <t>Report</t>
        </is>
      </c>
      <c r="F629" s="25">
        <f>VLOOKUP(E629,Assumptions!$A$5:$B$8,2,0)</f>
        <v/>
      </c>
    </row>
    <row r="630">
      <c r="A630" t="inlineStr">
        <is>
          <t>Reports</t>
        </is>
      </c>
      <c r="B630" t="inlineStr">
        <is>
          <t>RetailBanking</t>
        </is>
      </c>
      <c r="C630" t="inlineStr">
        <is>
          <t>GDCCStatements.aspx</t>
        </is>
      </c>
      <c r="D630" t="inlineStr">
        <is>
          <t>Reports/RetailBanking/GDCCStatements.aspx</t>
        </is>
      </c>
      <c r="E630" t="inlineStr">
        <is>
          <t>Report</t>
        </is>
      </c>
      <c r="F630" s="25">
        <f>VLOOKUP(E630,Assumptions!$A$5:$B$8,2,0)</f>
        <v/>
      </c>
    </row>
    <row r="631">
      <c r="A631" t="inlineStr">
        <is>
          <t>Reports</t>
        </is>
      </c>
      <c r="B631" t="inlineStr">
        <is>
          <t>RetailBanking</t>
        </is>
      </c>
      <c r="C631" t="inlineStr">
        <is>
          <t>GeneralLedgerConsolidation.aspx</t>
        </is>
      </c>
      <c r="D631" t="inlineStr">
        <is>
          <t>Reports/RetailBanking/GeneralLedgerConsolidation.aspx</t>
        </is>
      </c>
      <c r="E631" t="inlineStr">
        <is>
          <t>Report</t>
        </is>
      </c>
      <c r="F631" s="25">
        <f>VLOOKUP(E631,Assumptions!$A$5:$B$8,2,0)</f>
        <v/>
      </c>
    </row>
    <row r="632">
      <c r="A632" t="inlineStr">
        <is>
          <t>Reports</t>
        </is>
      </c>
      <c r="B632" t="inlineStr">
        <is>
          <t>RetailBanking</t>
        </is>
      </c>
      <c r="C632" t="inlineStr">
        <is>
          <t>GeneralLedgerReport.aspx</t>
        </is>
      </c>
      <c r="D632" t="inlineStr">
        <is>
          <t>Reports/RetailBanking/GeneralLedgerReport.aspx</t>
        </is>
      </c>
      <c r="E632" t="inlineStr">
        <is>
          <t>Report</t>
        </is>
      </c>
      <c r="F632" s="25">
        <f>VLOOKUP(E632,Assumptions!$A$5:$B$8,2,0)</f>
        <v/>
      </c>
    </row>
    <row r="633">
      <c r="A633" t="inlineStr">
        <is>
          <t>Reports</t>
        </is>
      </c>
      <c r="B633" t="inlineStr">
        <is>
          <t>RetailBanking</t>
        </is>
      </c>
      <c r="C633" t="inlineStr">
        <is>
          <t>GoldSecurityReport.aspx</t>
        </is>
      </c>
      <c r="D633" t="inlineStr">
        <is>
          <t>Reports/RetailBanking/GoldSecurityReport.aspx</t>
        </is>
      </c>
      <c r="E633" t="inlineStr">
        <is>
          <t>Report</t>
        </is>
      </c>
      <c r="F633" s="25">
        <f>VLOOKUP(E633,Assumptions!$A$5:$B$8,2,0)</f>
        <v/>
      </c>
    </row>
    <row r="634">
      <c r="A634" t="inlineStr">
        <is>
          <t>Reports</t>
        </is>
      </c>
      <c r="B634" t="inlineStr">
        <is>
          <t>RetailBanking</t>
        </is>
      </c>
      <c r="C634" t="inlineStr">
        <is>
          <t>HOBalance.aspx</t>
        </is>
      </c>
      <c r="D634" t="inlineStr">
        <is>
          <t>Reports/RetailBanking/HOBalance.aspx</t>
        </is>
      </c>
      <c r="E634" t="inlineStr">
        <is>
          <t>Report</t>
        </is>
      </c>
      <c r="F634" s="25">
        <f>VLOOKUP(E634,Assumptions!$A$5:$B$8,2,0)</f>
        <v/>
      </c>
    </row>
    <row r="635">
      <c r="A635" t="inlineStr">
        <is>
          <t>Reports</t>
        </is>
      </c>
      <c r="B635" t="inlineStr">
        <is>
          <t>RetailBanking</t>
        </is>
      </c>
      <c r="C635" t="inlineStr">
        <is>
          <t>BankDirRelReport.aspx</t>
        </is>
      </c>
      <c r="D635" t="inlineStr">
        <is>
          <t>Reports/RetailBanking/HeadOffice/BankDirRelReport.aspx</t>
        </is>
      </c>
      <c r="E635" t="inlineStr">
        <is>
          <t>Report</t>
        </is>
      </c>
      <c r="F635" s="25">
        <f>VLOOKUP(E635,Assumptions!$A$5:$B$8,2,0)</f>
        <v/>
      </c>
    </row>
    <row r="636">
      <c r="A636" t="inlineStr">
        <is>
          <t>Reports</t>
        </is>
      </c>
      <c r="B636" t="inlineStr">
        <is>
          <t>RetailBanking</t>
        </is>
      </c>
      <c r="C636" t="inlineStr">
        <is>
          <t>ChannelTranReport.aspx</t>
        </is>
      </c>
      <c r="D636" t="inlineStr">
        <is>
          <t>Reports/RetailBanking/HeadOffice/ChannelTranReport.aspx</t>
        </is>
      </c>
      <c r="E636" t="inlineStr">
        <is>
          <t>Report</t>
        </is>
      </c>
      <c r="F636" s="25">
        <f>VLOOKUP(E636,Assumptions!$A$5:$B$8,2,0)</f>
        <v/>
      </c>
    </row>
    <row r="637">
      <c r="A637" t="inlineStr">
        <is>
          <t>Reports</t>
        </is>
      </c>
      <c r="B637" t="inlineStr">
        <is>
          <t>RetailBanking</t>
        </is>
      </c>
      <c r="C637" t="inlineStr">
        <is>
          <t>HeadofficeReportSetting.aspx</t>
        </is>
      </c>
      <c r="D637" t="inlineStr">
        <is>
          <t>Reports/RetailBanking/HeadOffice/HeadofficeReportSetting.aspx</t>
        </is>
      </c>
      <c r="E637" t="inlineStr">
        <is>
          <t>Report</t>
        </is>
      </c>
      <c r="F637" s="25">
        <f>VLOOKUP(E637,Assumptions!$A$5:$B$8,2,0)</f>
        <v/>
      </c>
    </row>
    <row r="638">
      <c r="A638" t="inlineStr">
        <is>
          <t>Reports</t>
        </is>
      </c>
      <c r="B638" t="inlineStr">
        <is>
          <t>RetailBanking</t>
        </is>
      </c>
      <c r="C638" t="inlineStr">
        <is>
          <t>LoanSchemeChangeLog.aspx</t>
        </is>
      </c>
      <c r="D638" t="inlineStr">
        <is>
          <t>Reports/RetailBanking/HeadOffice/LoanSchemeChangeLog.aspx</t>
        </is>
      </c>
      <c r="E638" t="inlineStr">
        <is>
          <t>Report</t>
        </is>
      </c>
      <c r="F638" s="25">
        <f>VLOOKUP(E638,Assumptions!$A$5:$B$8,2,0)</f>
        <v/>
      </c>
    </row>
    <row r="639">
      <c r="A639" t="inlineStr">
        <is>
          <t>Reports</t>
        </is>
      </c>
      <c r="B639" t="inlineStr">
        <is>
          <t>RetailBanking</t>
        </is>
      </c>
      <c r="C639" t="inlineStr">
        <is>
          <t>TBBSPLReportSetting.aspx</t>
        </is>
      </c>
      <c r="D639" t="inlineStr">
        <is>
          <t>Reports/RetailBanking/HeadOffice/TBBSPLReportSetting.aspx</t>
        </is>
      </c>
      <c r="E639" t="inlineStr">
        <is>
          <t>Report</t>
        </is>
      </c>
      <c r="F639" s="25">
        <f>VLOOKUP(E639,Assumptions!$A$5:$B$8,2,0)</f>
        <v/>
      </c>
    </row>
    <row r="640">
      <c r="A640" t="inlineStr">
        <is>
          <t>Reports</t>
        </is>
      </c>
      <c r="B640" t="inlineStr">
        <is>
          <t>RetailBanking</t>
        </is>
      </c>
      <c r="C640" t="inlineStr">
        <is>
          <t>IBTMisTranReport.aspx</t>
        </is>
      </c>
      <c r="D640" t="inlineStr">
        <is>
          <t>Reports/RetailBanking/IBTMisTranReport.aspx</t>
        </is>
      </c>
      <c r="E640" t="inlineStr">
        <is>
          <t>Report</t>
        </is>
      </c>
      <c r="F640" s="25">
        <f>VLOOKUP(E640,Assumptions!$A$5:$B$8,2,0)</f>
        <v/>
      </c>
    </row>
    <row r="641">
      <c r="A641" t="inlineStr">
        <is>
          <t>Reports</t>
        </is>
      </c>
      <c r="B641" t="inlineStr">
        <is>
          <t>RetailBanking</t>
        </is>
      </c>
      <c r="C641" t="inlineStr">
        <is>
          <t>IncomeGSTReport.aspx</t>
        </is>
      </c>
      <c r="D641" t="inlineStr">
        <is>
          <t>Reports/RetailBanking/IncomeGSTReport.aspx</t>
        </is>
      </c>
      <c r="E641" t="inlineStr">
        <is>
          <t>Report</t>
        </is>
      </c>
      <c r="F641" s="25">
        <f>VLOOKUP(E641,Assumptions!$A$5:$B$8,2,0)</f>
        <v/>
      </c>
    </row>
    <row r="642">
      <c r="A642" t="inlineStr">
        <is>
          <t>Reports</t>
        </is>
      </c>
      <c r="B642" t="inlineStr">
        <is>
          <t>RetailBanking</t>
        </is>
      </c>
      <c r="C642" t="inlineStr">
        <is>
          <t>IntPaidPayRecdRecReport.aspx</t>
        </is>
      </c>
      <c r="D642" t="inlineStr">
        <is>
          <t>Reports/RetailBanking/IntPaidPayRecdRecReport.aspx</t>
        </is>
      </c>
      <c r="E642" t="inlineStr">
        <is>
          <t>Report</t>
        </is>
      </c>
      <c r="F642" s="25">
        <f>VLOOKUP(E642,Assumptions!$A$5:$B$8,2,0)</f>
        <v/>
      </c>
    </row>
    <row r="643">
      <c r="A643" t="inlineStr">
        <is>
          <t>Reports</t>
        </is>
      </c>
      <c r="B643" t="inlineStr">
        <is>
          <t>RetailBanking</t>
        </is>
      </c>
      <c r="C643" t="inlineStr">
        <is>
          <t>IntSubventionReport.aspx</t>
        </is>
      </c>
      <c r="D643" t="inlineStr">
        <is>
          <t>Reports/RetailBanking/IntSubventionReport.aspx</t>
        </is>
      </c>
      <c r="E643" t="inlineStr">
        <is>
          <t>Report</t>
        </is>
      </c>
      <c r="F643" s="25">
        <f>VLOOKUP(E643,Assumptions!$A$5:$B$8,2,0)</f>
        <v/>
      </c>
    </row>
    <row r="644">
      <c r="A644" t="inlineStr">
        <is>
          <t>Reports</t>
        </is>
      </c>
      <c r="B644" t="inlineStr">
        <is>
          <t>RetailBanking</t>
        </is>
      </c>
      <c r="C644" t="inlineStr">
        <is>
          <t>InterestReportSetting.aspx</t>
        </is>
      </c>
      <c r="D644" t="inlineStr">
        <is>
          <t>Reports/RetailBanking/InterestActivities/InterestReportSetting.aspx</t>
        </is>
      </c>
      <c r="E644" t="inlineStr">
        <is>
          <t>Report</t>
        </is>
      </c>
      <c r="F644" s="25">
        <f>VLOOKUP(E644,Assumptions!$A$5:$B$8,2,0)</f>
        <v/>
      </c>
    </row>
    <row r="645">
      <c r="A645" t="inlineStr">
        <is>
          <t>Reports</t>
        </is>
      </c>
      <c r="B645" t="inlineStr">
        <is>
          <t>RetailBanking</t>
        </is>
      </c>
      <c r="C645" t="inlineStr">
        <is>
          <t>InterestCalcLogReport.aspx</t>
        </is>
      </c>
      <c r="D645" t="inlineStr">
        <is>
          <t>Reports/RetailBanking/InterestCalcLogReport.aspx</t>
        </is>
      </c>
      <c r="E645" t="inlineStr">
        <is>
          <t>Report</t>
        </is>
      </c>
      <c r="F645" s="25">
        <f>VLOOKUP(E645,Assumptions!$A$5:$B$8,2,0)</f>
        <v/>
      </c>
    </row>
    <row r="646">
      <c r="A646" t="inlineStr">
        <is>
          <t>Reports</t>
        </is>
      </c>
      <c r="B646" t="inlineStr">
        <is>
          <t>RetailBanking</t>
        </is>
      </c>
      <c r="C646" t="inlineStr">
        <is>
          <t>InvPurSaleReport.aspx</t>
        </is>
      </c>
      <c r="D646" t="inlineStr">
        <is>
          <t>Reports/RetailBanking/Investment/InvPurSaleReport.aspx</t>
        </is>
      </c>
      <c r="E646" t="inlineStr">
        <is>
          <t>Report</t>
        </is>
      </c>
      <c r="F646" s="25">
        <f>VLOOKUP(E646,Assumptions!$A$5:$B$8,2,0)</f>
        <v/>
      </c>
    </row>
    <row r="647">
      <c r="A647" t="inlineStr">
        <is>
          <t>Reports</t>
        </is>
      </c>
      <c r="B647" t="inlineStr">
        <is>
          <t>RetailBanking</t>
        </is>
      </c>
      <c r="C647" t="inlineStr">
        <is>
          <t>InvestmentNewReportSettings.aspx</t>
        </is>
      </c>
      <c r="D647" t="inlineStr">
        <is>
          <t>Reports/RetailBanking/Investment/InvestmentNewReportSettings.aspx</t>
        </is>
      </c>
      <c r="E647" t="inlineStr">
        <is>
          <t>Report</t>
        </is>
      </c>
      <c r="F647" s="25">
        <f>VLOOKUP(E647,Assumptions!$A$5:$B$8,2,0)</f>
        <v/>
      </c>
    </row>
    <row r="648">
      <c r="A648" t="inlineStr">
        <is>
          <t>Reports</t>
        </is>
      </c>
      <c r="B648" t="inlineStr">
        <is>
          <t>RetailBanking</t>
        </is>
      </c>
      <c r="C648" t="inlineStr">
        <is>
          <t>InvestmentReportSettings.aspx</t>
        </is>
      </c>
      <c r="D648" t="inlineStr">
        <is>
          <t>Reports/RetailBanking/Investment/InvestmentReportSettings.aspx</t>
        </is>
      </c>
      <c r="E648" t="inlineStr">
        <is>
          <t>Report</t>
        </is>
      </c>
      <c r="F648" s="25">
        <f>VLOOKUP(E648,Assumptions!$A$5:$B$8,2,0)</f>
        <v/>
      </c>
    </row>
    <row r="649">
      <c r="A649" t="inlineStr">
        <is>
          <t>Reports</t>
        </is>
      </c>
      <c r="B649" t="inlineStr">
        <is>
          <t>RetailBanking</t>
        </is>
      </c>
      <c r="C649" t="inlineStr">
        <is>
          <t>JLGReports.aspx</t>
        </is>
      </c>
      <c r="D649" t="inlineStr">
        <is>
          <t>Reports/RetailBanking/JLGReports.aspx</t>
        </is>
      </c>
      <c r="E649" t="inlineStr">
        <is>
          <t>Report</t>
        </is>
      </c>
      <c r="F649" s="25">
        <f>VLOOKUP(E649,Assumptions!$A$5:$B$8,2,0)</f>
        <v/>
      </c>
    </row>
    <row r="650">
      <c r="A650" t="inlineStr">
        <is>
          <t>Reports</t>
        </is>
      </c>
      <c r="B650" t="inlineStr">
        <is>
          <t>RetailBanking</t>
        </is>
      </c>
      <c r="C650" t="inlineStr">
        <is>
          <t>JLGReports_export.aspx</t>
        </is>
      </c>
      <c r="D650" t="inlineStr">
        <is>
          <t>Reports/RetailBanking/JLGReports_export.aspx</t>
        </is>
      </c>
      <c r="E650" t="inlineStr">
        <is>
          <t>Report</t>
        </is>
      </c>
      <c r="F650" s="25">
        <f>VLOOKUP(E650,Assumptions!$A$5:$B$8,2,0)</f>
        <v/>
      </c>
    </row>
    <row r="651">
      <c r="A651" t="inlineStr">
        <is>
          <t>Reports</t>
        </is>
      </c>
      <c r="B651" t="inlineStr">
        <is>
          <t>RetailBanking</t>
        </is>
      </c>
      <c r="C651" t="inlineStr">
        <is>
          <t>KeyFactStatement.aspx</t>
        </is>
      </c>
      <c r="D651" t="inlineStr">
        <is>
          <t>Reports/RetailBanking/KeyFactStatement.aspx</t>
        </is>
      </c>
      <c r="E651" t="inlineStr">
        <is>
          <t>Report</t>
        </is>
      </c>
      <c r="F651" s="25">
        <f>VLOOKUP(E651,Assumptions!$A$5:$B$8,2,0)</f>
        <v/>
      </c>
    </row>
    <row r="652">
      <c r="A652" t="inlineStr">
        <is>
          <t>Reports</t>
        </is>
      </c>
      <c r="B652" t="inlineStr">
        <is>
          <t>RetailBanking</t>
        </is>
      </c>
      <c r="C652" t="inlineStr">
        <is>
          <t>KycComplianceReport.aspx</t>
        </is>
      </c>
      <c r="D652" t="inlineStr">
        <is>
          <t>Reports/RetailBanking/KycComplianceReport.aspx</t>
        </is>
      </c>
      <c r="E652" t="inlineStr">
        <is>
          <t>Report</t>
        </is>
      </c>
      <c r="F652" s="25">
        <f>VLOOKUP(E652,Assumptions!$A$5:$B$8,2,0)</f>
        <v/>
      </c>
    </row>
    <row r="653">
      <c r="A653" t="inlineStr">
        <is>
          <t>Reports</t>
        </is>
      </c>
      <c r="B653" t="inlineStr">
        <is>
          <t>RetailBanking</t>
        </is>
      </c>
      <c r="C653" t="inlineStr">
        <is>
          <t>LNAccExceedingLTVRatioReport.aspx</t>
        </is>
      </c>
      <c r="D653" t="inlineStr">
        <is>
          <t>Reports/RetailBanking/LNAccExceedingLTVRatioReport.aspx</t>
        </is>
      </c>
      <c r="E653" t="inlineStr">
        <is>
          <t>Report</t>
        </is>
      </c>
      <c r="F653" s="25">
        <f>VLOOKUP(E653,Assumptions!$A$5:$B$8,2,0)</f>
        <v/>
      </c>
    </row>
    <row r="654">
      <c r="A654" t="inlineStr">
        <is>
          <t>Reports</t>
        </is>
      </c>
      <c r="B654" t="inlineStr">
        <is>
          <t>RetailBanking</t>
        </is>
      </c>
      <c r="C654" t="inlineStr">
        <is>
          <t>LNCCRecoveryReport.aspx</t>
        </is>
      </c>
      <c r="D654" t="inlineStr">
        <is>
          <t>Reports/RetailBanking/LNCCRecoveryReport.aspx</t>
        </is>
      </c>
      <c r="E654" t="inlineStr">
        <is>
          <t>Report</t>
        </is>
      </c>
      <c r="F654" s="25">
        <f>VLOOKUP(E654,Assumptions!$A$5:$B$8,2,0)</f>
        <v/>
      </c>
    </row>
    <row r="655">
      <c r="A655" t="inlineStr">
        <is>
          <t>Reports</t>
        </is>
      </c>
      <c r="B655" t="inlineStr">
        <is>
          <t>RetailBanking</t>
        </is>
      </c>
      <c r="C655" t="inlineStr">
        <is>
          <t>LNPostDatedChqReport.aspx</t>
        </is>
      </c>
      <c r="D655" t="inlineStr">
        <is>
          <t>Reports/RetailBanking/LNPostDatedChqReport.aspx</t>
        </is>
      </c>
      <c r="E655" t="inlineStr">
        <is>
          <t>Report</t>
        </is>
      </c>
      <c r="F655" s="25">
        <f>VLOOKUP(E655,Assumptions!$A$5:$B$8,2,0)</f>
        <v/>
      </c>
    </row>
    <row r="656">
      <c r="A656" t="inlineStr">
        <is>
          <t>Reports</t>
        </is>
      </c>
      <c r="B656" t="inlineStr">
        <is>
          <t>RetailBanking</t>
        </is>
      </c>
      <c r="C656" t="inlineStr">
        <is>
          <t>LedgerViewLogReport.aspx</t>
        </is>
      </c>
      <c r="D656" t="inlineStr">
        <is>
          <t>Reports/RetailBanking/LedgerViewLogReport.aspx</t>
        </is>
      </c>
      <c r="E656" t="inlineStr">
        <is>
          <t>Report</t>
        </is>
      </c>
      <c r="F656" s="25">
        <f>VLOOKUP(E656,Assumptions!$A$5:$B$8,2,0)</f>
        <v/>
      </c>
    </row>
    <row r="657">
      <c r="A657" t="inlineStr">
        <is>
          <t>Reports</t>
        </is>
      </c>
      <c r="B657" t="inlineStr">
        <is>
          <t>RetailBanking</t>
        </is>
      </c>
      <c r="C657" t="inlineStr">
        <is>
          <t>LegalReportSetting.aspx</t>
        </is>
      </c>
      <c r="D657" t="inlineStr">
        <is>
          <t>Reports/RetailBanking/Legal/LegalReportSetting.aspx</t>
        </is>
      </c>
      <c r="E657" t="inlineStr">
        <is>
          <t>Report</t>
        </is>
      </c>
      <c r="F657" s="25">
        <f>VLOOKUP(E657,Assumptions!$A$5:$B$8,2,0)</f>
        <v/>
      </c>
    </row>
    <row r="658">
      <c r="A658" t="inlineStr">
        <is>
          <t>Reports</t>
        </is>
      </c>
      <c r="B658" t="inlineStr">
        <is>
          <t>RetailBanking</t>
        </is>
      </c>
      <c r="C658" t="inlineStr">
        <is>
          <t>LegalActionTakenReport.aspx</t>
        </is>
      </c>
      <c r="D658" t="inlineStr">
        <is>
          <t>Reports/RetailBanking/LegalActionTakenReport.aspx</t>
        </is>
      </c>
      <c r="E658" t="inlineStr">
        <is>
          <t>Report</t>
        </is>
      </c>
      <c r="F658" s="25">
        <f>VLOOKUP(E658,Assumptions!$A$5:$B$8,2,0)</f>
        <v/>
      </c>
    </row>
    <row r="659">
      <c r="A659" t="inlineStr">
        <is>
          <t>Reports</t>
        </is>
      </c>
      <c r="B659" t="inlineStr">
        <is>
          <t>RetailBanking</t>
        </is>
      </c>
      <c r="C659" t="inlineStr">
        <is>
          <t>LiabilityVerification.aspx</t>
        </is>
      </c>
      <c r="D659" t="inlineStr">
        <is>
          <t>Reports/RetailBanking/LiabilityVerification.aspx</t>
        </is>
      </c>
      <c r="E659" t="inlineStr">
        <is>
          <t>Report</t>
        </is>
      </c>
      <c r="F659" s="25">
        <f>VLOOKUP(E659,Assumptions!$A$5:$B$8,2,0)</f>
        <v/>
      </c>
    </row>
    <row r="660">
      <c r="A660" t="inlineStr">
        <is>
          <t>Reports</t>
        </is>
      </c>
      <c r="B660" t="inlineStr">
        <is>
          <t>RetailBanking</t>
        </is>
      </c>
      <c r="C660" t="inlineStr">
        <is>
          <t>LoanAccChargeNotedReport.aspx</t>
        </is>
      </c>
      <c r="D660" t="inlineStr">
        <is>
          <t>Reports/RetailBanking/LoanAccChargeNotedReport.aspx</t>
        </is>
      </c>
      <c r="E660" t="inlineStr">
        <is>
          <t>Report</t>
        </is>
      </c>
      <c r="F660" s="25">
        <f>VLOOKUP(E660,Assumptions!$A$5:$B$8,2,0)</f>
        <v/>
      </c>
    </row>
    <row r="661">
      <c r="A661" t="inlineStr">
        <is>
          <t>Reports</t>
        </is>
      </c>
      <c r="B661" t="inlineStr">
        <is>
          <t>RetailBanking</t>
        </is>
      </c>
      <c r="C661" t="inlineStr">
        <is>
          <t>LoanAccountStatement.aspx</t>
        </is>
      </c>
      <c r="D661" t="inlineStr">
        <is>
          <t>Reports/RetailBanking/LoanAccountStatement.aspx</t>
        </is>
      </c>
      <c r="E661" t="inlineStr">
        <is>
          <t>Report</t>
        </is>
      </c>
      <c r="F661" s="25">
        <f>VLOOKUP(E661,Assumptions!$A$5:$B$8,2,0)</f>
        <v/>
      </c>
    </row>
    <row r="662">
      <c r="A662" t="inlineStr">
        <is>
          <t>Reports</t>
        </is>
      </c>
      <c r="B662" t="inlineStr">
        <is>
          <t>RetailBanking</t>
        </is>
      </c>
      <c r="C662" t="inlineStr">
        <is>
          <t>LoanBalancingReport.aspx</t>
        </is>
      </c>
      <c r="D662" t="inlineStr">
        <is>
          <t>Reports/RetailBanking/LoanBalancingReport.aspx</t>
        </is>
      </c>
      <c r="E662" t="inlineStr">
        <is>
          <t>Report</t>
        </is>
      </c>
      <c r="F662" s="25">
        <f>VLOOKUP(E662,Assumptions!$A$5:$B$8,2,0)</f>
        <v/>
      </c>
    </row>
    <row r="663">
      <c r="A663" t="inlineStr">
        <is>
          <t>Reports</t>
        </is>
      </c>
      <c r="B663" t="inlineStr">
        <is>
          <t>RetailBanking</t>
        </is>
      </c>
      <c r="C663" t="inlineStr">
        <is>
          <t>LoanDepositIntSlab.aspx</t>
        </is>
      </c>
      <c r="D663" t="inlineStr">
        <is>
          <t>Reports/RetailBanking/LoanDepositIntSlab.aspx</t>
        </is>
      </c>
      <c r="E663" t="inlineStr">
        <is>
          <t>Report</t>
        </is>
      </c>
      <c r="F663" s="25">
        <f>VLOOKUP(E663,Assumptions!$A$5:$B$8,2,0)</f>
        <v/>
      </c>
    </row>
    <row r="664">
      <c r="A664" t="inlineStr">
        <is>
          <t>Reports</t>
        </is>
      </c>
      <c r="B664" t="inlineStr">
        <is>
          <t>RetailBanking</t>
        </is>
      </c>
      <c r="C664" t="inlineStr">
        <is>
          <t>LoanInsuranceReport.aspx</t>
        </is>
      </c>
      <c r="D664" t="inlineStr">
        <is>
          <t>Reports/RetailBanking/LoanInsuranceReport.aspx</t>
        </is>
      </c>
      <c r="E664" t="inlineStr">
        <is>
          <t>Report</t>
        </is>
      </c>
      <c r="F664" s="25">
        <f>VLOOKUP(E664,Assumptions!$A$5:$B$8,2,0)</f>
        <v/>
      </c>
    </row>
    <row r="665">
      <c r="A665" t="inlineStr">
        <is>
          <t>Reports</t>
        </is>
      </c>
      <c r="B665" t="inlineStr">
        <is>
          <t>RetailBanking</t>
        </is>
      </c>
      <c r="C665" t="inlineStr">
        <is>
          <t>LoanInterestCalculationDataChecking.aspx</t>
        </is>
      </c>
      <c r="D665" t="inlineStr">
        <is>
          <t>Reports/RetailBanking/LoanInterestCalculationDataChecking.aspx</t>
        </is>
      </c>
      <c r="E665" t="inlineStr">
        <is>
          <t>Report</t>
        </is>
      </c>
      <c r="F665" s="25">
        <f>VLOOKUP(E665,Assumptions!$A$5:$B$8,2,0)</f>
        <v/>
      </c>
    </row>
    <row r="666">
      <c r="A666" t="inlineStr">
        <is>
          <t>Reports</t>
        </is>
      </c>
      <c r="B666" t="inlineStr">
        <is>
          <t>RetailBanking</t>
        </is>
      </c>
      <c r="C666" t="inlineStr">
        <is>
          <t>LoanOstODReport.aspx</t>
        </is>
      </c>
      <c r="D666" t="inlineStr">
        <is>
          <t>Reports/RetailBanking/LoanOstODReport.aspx</t>
        </is>
      </c>
      <c r="E666" t="inlineStr">
        <is>
          <t>Report</t>
        </is>
      </c>
      <c r="F666" s="25">
        <f>VLOOKUP(E666,Assumptions!$A$5:$B$8,2,0)</f>
        <v/>
      </c>
    </row>
    <row r="667">
      <c r="A667" t="inlineStr">
        <is>
          <t>Reports</t>
        </is>
      </c>
      <c r="B667" t="inlineStr">
        <is>
          <t>RetailBanking</t>
        </is>
      </c>
      <c r="C667" t="inlineStr">
        <is>
          <t>LoanReport.aspx</t>
        </is>
      </c>
      <c r="D667" t="inlineStr">
        <is>
          <t>Reports/RetailBanking/LoanReport.aspx</t>
        </is>
      </c>
      <c r="E667" t="inlineStr">
        <is>
          <t>Report</t>
        </is>
      </c>
      <c r="F667" s="25">
        <f>VLOOKUP(E667,Assumptions!$A$5:$B$8,2,0)</f>
        <v/>
      </c>
    </row>
    <row r="668">
      <c r="A668" t="inlineStr">
        <is>
          <t>Reports</t>
        </is>
      </c>
      <c r="B668" t="inlineStr">
        <is>
          <t>RetailBanking</t>
        </is>
      </c>
      <c r="C668" t="inlineStr">
        <is>
          <t>ecs_MandateAccountStatus.aspx</t>
        </is>
      </c>
      <c r="D668" t="inlineStr">
        <is>
          <t>Reports/RetailBanking/MMS/ecs_MandateAccountStatus.aspx</t>
        </is>
      </c>
      <c r="E668" t="inlineStr">
        <is>
          <t>Report</t>
        </is>
      </c>
      <c r="F668" s="25">
        <f>VLOOKUP(E668,Assumptions!$A$5:$B$8,2,0)</f>
        <v/>
      </c>
    </row>
    <row r="669">
      <c r="A669" t="inlineStr">
        <is>
          <t>Reports</t>
        </is>
      </c>
      <c r="B669" t="inlineStr">
        <is>
          <t>RetailBanking</t>
        </is>
      </c>
      <c r="C669" t="inlineStr">
        <is>
          <t>MMSInwOutTranReport.aspx</t>
        </is>
      </c>
      <c r="D669" t="inlineStr">
        <is>
          <t>Reports/RetailBanking/MMSInwOutTranReport.aspx</t>
        </is>
      </c>
      <c r="E669" t="inlineStr">
        <is>
          <t>Report</t>
        </is>
      </c>
      <c r="F669" s="25">
        <f>VLOOKUP(E669,Assumptions!$A$5:$B$8,2,0)</f>
        <v/>
      </c>
    </row>
    <row r="670">
      <c r="A670" t="inlineStr">
        <is>
          <t>Reports</t>
        </is>
      </c>
      <c r="B670" t="inlineStr">
        <is>
          <t>RetailBanking</t>
        </is>
      </c>
      <c r="C670" t="inlineStr">
        <is>
          <t>MasterReportSetting.aspx</t>
        </is>
      </c>
      <c r="D670" t="inlineStr">
        <is>
          <t>Reports/RetailBanking/Master/MasterReportSetting.aspx</t>
        </is>
      </c>
      <c r="E670" t="inlineStr">
        <is>
          <t>Report</t>
        </is>
      </c>
      <c r="F670" s="25">
        <f>VLOOKUP(E670,Assumptions!$A$5:$B$8,2,0)</f>
        <v/>
      </c>
    </row>
    <row r="671">
      <c r="A671" t="inlineStr">
        <is>
          <t>Reports</t>
        </is>
      </c>
      <c r="B671" t="inlineStr">
        <is>
          <t>RetailBanking</t>
        </is>
      </c>
      <c r="C671" t="inlineStr">
        <is>
          <t>MinorTurnMajorLetter.aspx</t>
        </is>
      </c>
      <c r="D671" t="inlineStr">
        <is>
          <t>Reports/RetailBanking/MinorTurnMajorLetter.aspx</t>
        </is>
      </c>
      <c r="E671" t="inlineStr">
        <is>
          <t>Report</t>
        </is>
      </c>
      <c r="F671" s="25">
        <f>VLOOKUP(E671,Assumptions!$A$5:$B$8,2,0)</f>
        <v/>
      </c>
    </row>
    <row r="672">
      <c r="A672" t="inlineStr">
        <is>
          <t>Reports</t>
        </is>
      </c>
      <c r="B672" t="inlineStr">
        <is>
          <t>RetailBanking</t>
        </is>
      </c>
      <c r="C672" t="inlineStr">
        <is>
          <t>MstClsAdv.aspx</t>
        </is>
      </c>
      <c r="D672" t="inlineStr">
        <is>
          <t>Reports/RetailBanking/MstClsAdv.aspx</t>
        </is>
      </c>
      <c r="E672" t="inlineStr">
        <is>
          <t>Report</t>
        </is>
      </c>
      <c r="F672" s="25">
        <f>VLOOKUP(E672,Assumptions!$A$5:$B$8,2,0)</f>
        <v/>
      </c>
    </row>
    <row r="673">
      <c r="A673" t="inlineStr">
        <is>
          <t>Reports</t>
        </is>
      </c>
      <c r="B673" t="inlineStr">
        <is>
          <t>RetailBanking</t>
        </is>
      </c>
      <c r="C673" t="inlineStr">
        <is>
          <t>NBFC.aspx</t>
        </is>
      </c>
      <c r="D673" t="inlineStr">
        <is>
          <t>Reports/RetailBanking/NBFC_V1/NBFC.aspx</t>
        </is>
      </c>
      <c r="E673" t="inlineStr">
        <is>
          <t>Report</t>
        </is>
      </c>
      <c r="F673" s="25">
        <f>VLOOKUP(E673,Assumptions!$A$5:$B$8,2,0)</f>
        <v/>
      </c>
    </row>
    <row r="674">
      <c r="A674" t="inlineStr">
        <is>
          <t>Reports</t>
        </is>
      </c>
      <c r="B674" t="inlineStr">
        <is>
          <t>RetailBanking</t>
        </is>
      </c>
      <c r="C674" t="inlineStr">
        <is>
          <t>NODCStatement.aspx</t>
        </is>
      </c>
      <c r="D674" t="inlineStr">
        <is>
          <t>Reports/RetailBanking/NODCStatement.aspx</t>
        </is>
      </c>
      <c r="E674" t="inlineStr">
        <is>
          <t>Report</t>
        </is>
      </c>
      <c r="F674" s="25">
        <f>VLOOKUP(E674,Assumptions!$A$5:$B$8,2,0)</f>
        <v/>
      </c>
    </row>
    <row r="675">
      <c r="A675" t="inlineStr">
        <is>
          <t>Reports</t>
        </is>
      </c>
      <c r="B675" t="inlineStr">
        <is>
          <t>RetailBanking</t>
        </is>
      </c>
      <c r="C675" t="inlineStr">
        <is>
          <t>ClassificationNPA.aspx</t>
        </is>
      </c>
      <c r="D675" t="inlineStr">
        <is>
          <t>Reports/RetailBanking/NPA/ClassificationNPA.aspx</t>
        </is>
      </c>
      <c r="E675" t="inlineStr">
        <is>
          <t>Report</t>
        </is>
      </c>
      <c r="F675" s="25">
        <f>VLOOKUP(E675,Assumptions!$A$5:$B$8,2,0)</f>
        <v/>
      </c>
    </row>
    <row r="676">
      <c r="A676" t="inlineStr">
        <is>
          <t>Reports</t>
        </is>
      </c>
      <c r="B676" t="inlineStr">
        <is>
          <t>RetailBanking</t>
        </is>
      </c>
      <c r="C676" t="inlineStr">
        <is>
          <t>NPAMovement.aspx</t>
        </is>
      </c>
      <c r="D676" t="inlineStr">
        <is>
          <t>Reports/RetailBanking/NPA/NPAMovement.aspx</t>
        </is>
      </c>
      <c r="E676" t="inlineStr">
        <is>
          <t>Report</t>
        </is>
      </c>
      <c r="F676" s="25">
        <f>VLOOKUP(E676,Assumptions!$A$5:$B$8,2,0)</f>
        <v/>
      </c>
    </row>
    <row r="677">
      <c r="A677" t="inlineStr">
        <is>
          <t>Reports</t>
        </is>
      </c>
      <c r="B677" t="inlineStr">
        <is>
          <t>RetailBanking</t>
        </is>
      </c>
      <c r="C677" t="inlineStr">
        <is>
          <t>NPAReportSettings.aspx</t>
        </is>
      </c>
      <c r="D677" t="inlineStr">
        <is>
          <t>Reports/RetailBanking/NPA/NPAReportSettings.aspx</t>
        </is>
      </c>
      <c r="E677" t="inlineStr">
        <is>
          <t>Report</t>
        </is>
      </c>
      <c r="F677" s="25">
        <f>VLOOKUP(E677,Assumptions!$A$5:$B$8,2,0)</f>
        <v/>
      </c>
    </row>
    <row r="678">
      <c r="A678" t="inlineStr">
        <is>
          <t>Reports</t>
        </is>
      </c>
      <c r="B678" t="inlineStr">
        <is>
          <t>RetailBanking</t>
        </is>
      </c>
      <c r="C678" t="inlineStr">
        <is>
          <t>NPASummarybyCOA.aspx</t>
        </is>
      </c>
      <c r="D678" t="inlineStr">
        <is>
          <t>Reports/RetailBanking/NPA/NPASummarybyCOA.aspx</t>
        </is>
      </c>
      <c r="E678" t="inlineStr">
        <is>
          <t>Report</t>
        </is>
      </c>
      <c r="F678" s="25">
        <f>VLOOKUP(E678,Assumptions!$A$5:$B$8,2,0)</f>
        <v/>
      </c>
    </row>
    <row r="679">
      <c r="A679" t="inlineStr">
        <is>
          <t>Reports</t>
        </is>
      </c>
      <c r="B679" t="inlineStr">
        <is>
          <t>RetailBanking</t>
        </is>
      </c>
      <c r="C679" t="inlineStr">
        <is>
          <t>NpaModificationReport.aspx</t>
        </is>
      </c>
      <c r="D679" t="inlineStr">
        <is>
          <t>Reports/RetailBanking/NPA/NpaModificationReport.aspx</t>
        </is>
      </c>
      <c r="E679" t="inlineStr">
        <is>
          <t>Report</t>
        </is>
      </c>
      <c r="F679" s="25">
        <f>VLOOKUP(E679,Assumptions!$A$5:$B$8,2,0)</f>
        <v/>
      </c>
    </row>
    <row r="680">
      <c r="A680" t="inlineStr">
        <is>
          <t>Reports</t>
        </is>
      </c>
      <c r="B680" t="inlineStr">
        <is>
          <t>RetailBanking</t>
        </is>
      </c>
      <c r="C680" t="inlineStr">
        <is>
          <t>ODAgainstNPA.aspx</t>
        </is>
      </c>
      <c r="D680" t="inlineStr">
        <is>
          <t>Reports/RetailBanking/NPA/ODAgainstNPA.aspx</t>
        </is>
      </c>
      <c r="E680" t="inlineStr">
        <is>
          <t>Report</t>
        </is>
      </c>
      <c r="F680" s="25">
        <f>VLOOKUP(E680,Assumptions!$A$5:$B$8,2,0)</f>
        <v/>
      </c>
    </row>
    <row r="681">
      <c r="A681" t="inlineStr">
        <is>
          <t>Reports</t>
        </is>
      </c>
      <c r="B681" t="inlineStr">
        <is>
          <t>RetailBanking</t>
        </is>
      </c>
      <c r="C681" t="inlineStr">
        <is>
          <t>ProbableNPA.aspx</t>
        </is>
      </c>
      <c r="D681" t="inlineStr">
        <is>
          <t>Reports/RetailBanking/NPA/ProbableNPA.aspx</t>
        </is>
      </c>
      <c r="E681" t="inlineStr">
        <is>
          <t>Report</t>
        </is>
      </c>
      <c r="F681" s="25">
        <f>VLOOKUP(E681,Assumptions!$A$5:$B$8,2,0)</f>
        <v/>
      </c>
    </row>
    <row r="682">
      <c r="A682" t="inlineStr">
        <is>
          <t>Reports</t>
        </is>
      </c>
      <c r="B682" t="inlineStr">
        <is>
          <t>RetailBanking</t>
        </is>
      </c>
      <c r="C682" t="inlineStr">
        <is>
          <t>NRLMReports.aspx</t>
        </is>
      </c>
      <c r="D682" t="inlineStr">
        <is>
          <t>Reports/RetailBanking/NRLMReports.aspx</t>
        </is>
      </c>
      <c r="E682" t="inlineStr">
        <is>
          <t>Report</t>
        </is>
      </c>
      <c r="F682" s="25">
        <f>VLOOKUP(E682,Assumptions!$A$5:$B$8,2,0)</f>
        <v/>
      </c>
    </row>
    <row r="683">
      <c r="A683" t="inlineStr">
        <is>
          <t>Reports</t>
        </is>
      </c>
      <c r="B683" t="inlineStr">
        <is>
          <t>RetailBanking</t>
        </is>
      </c>
      <c r="C683" t="inlineStr">
        <is>
          <t>NetWorthReport.aspx</t>
        </is>
      </c>
      <c r="D683" t="inlineStr">
        <is>
          <t>Reports/RetailBanking/NetWorthReport.aspx</t>
        </is>
      </c>
      <c r="E683" t="inlineStr">
        <is>
          <t>Report</t>
        </is>
      </c>
      <c r="F683" s="25">
        <f>VLOOKUP(E683,Assumptions!$A$5:$B$8,2,0)</f>
        <v/>
      </c>
    </row>
    <row r="684">
      <c r="A684" t="inlineStr">
        <is>
          <t>Reports</t>
        </is>
      </c>
      <c r="B684" t="inlineStr">
        <is>
          <t>RetailBanking</t>
        </is>
      </c>
      <c r="C684" t="inlineStr">
        <is>
          <t>AllInterestCertificate.aspx</t>
        </is>
      </c>
      <c r="D684" t="inlineStr">
        <is>
          <t>Reports/RetailBanking/New RetailBanking Report/AllInterestCertificate.aspx</t>
        </is>
      </c>
      <c r="E684" t="inlineStr">
        <is>
          <t>Report</t>
        </is>
      </c>
      <c r="F684" s="25">
        <f>VLOOKUP(E684,Assumptions!$A$5:$B$8,2,0)</f>
        <v/>
      </c>
    </row>
    <row r="685">
      <c r="A685" t="inlineStr">
        <is>
          <t>Reports</t>
        </is>
      </c>
      <c r="B685" t="inlineStr">
        <is>
          <t>RetailBanking</t>
        </is>
      </c>
      <c r="C685" t="inlineStr">
        <is>
          <t>BlackListTerroristSearch.aspx</t>
        </is>
      </c>
      <c r="D685" t="inlineStr">
        <is>
          <t>Reports/RetailBanking/New RetailBanking Report/BlackListTerroristSearch.aspx</t>
        </is>
      </c>
      <c r="E685" t="inlineStr">
        <is>
          <t>Report</t>
        </is>
      </c>
      <c r="F685" s="25">
        <f>VLOOKUP(E685,Assumptions!$A$5:$B$8,2,0)</f>
        <v/>
      </c>
    </row>
    <row r="686">
      <c r="A686" t="inlineStr">
        <is>
          <t>Reports</t>
        </is>
      </c>
      <c r="B686" t="inlineStr">
        <is>
          <t>RetailBanking</t>
        </is>
      </c>
      <c r="C686" t="inlineStr">
        <is>
          <t>DepositInsuranceV1.aspx</t>
        </is>
      </c>
      <c r="D686" t="inlineStr">
        <is>
          <t>Reports/RetailBanking/New RetailBanking Report/DepositInsuranceV1.aspx</t>
        </is>
      </c>
      <c r="E686" t="inlineStr">
        <is>
          <t>Report</t>
        </is>
      </c>
      <c r="F686" s="25">
        <f>VLOOKUP(E686,Assumptions!$A$5:$B$8,2,0)</f>
        <v/>
      </c>
    </row>
    <row r="687">
      <c r="A687" t="inlineStr">
        <is>
          <t>Reports</t>
        </is>
      </c>
      <c r="B687" t="inlineStr">
        <is>
          <t>RetailBanking</t>
        </is>
      </c>
      <c r="C687" t="inlineStr">
        <is>
          <t>LoanDisbRecReport.aspx</t>
        </is>
      </c>
      <c r="D687" t="inlineStr">
        <is>
          <t>Reports/RetailBanking/New RetailBanking Report/LoanDisbRecReport.aspx</t>
        </is>
      </c>
      <c r="E687" t="inlineStr">
        <is>
          <t>Report</t>
        </is>
      </c>
      <c r="F687" s="25">
        <f>VLOOKUP(E687,Assumptions!$A$5:$B$8,2,0)</f>
        <v/>
      </c>
    </row>
    <row r="688">
      <c r="A688" t="inlineStr">
        <is>
          <t>Reports</t>
        </is>
      </c>
      <c r="B688" t="inlineStr">
        <is>
          <t>RetailBanking</t>
        </is>
      </c>
      <c r="C688" t="inlineStr">
        <is>
          <t>LockerReport.aspx</t>
        </is>
      </c>
      <c r="D688" t="inlineStr">
        <is>
          <t>Reports/RetailBanking/New RetailBanking Report/LockerReport.aspx</t>
        </is>
      </c>
      <c r="E688" t="inlineStr">
        <is>
          <t>Report</t>
        </is>
      </c>
      <c r="F688" s="25">
        <f>VLOOKUP(E688,Assumptions!$A$5:$B$8,2,0)</f>
        <v/>
      </c>
    </row>
    <row r="689">
      <c r="A689" t="inlineStr">
        <is>
          <t>Reports</t>
        </is>
      </c>
      <c r="B689" t="inlineStr">
        <is>
          <t>RetailBanking</t>
        </is>
      </c>
      <c r="C689" t="inlineStr">
        <is>
          <t>OverdueLetterLogReport.aspx</t>
        </is>
      </c>
      <c r="D689" t="inlineStr">
        <is>
          <t>Reports/RetailBanking/New RetailBanking Report/OverdueLetterLogReport.aspx</t>
        </is>
      </c>
      <c r="E689" t="inlineStr">
        <is>
          <t>Report</t>
        </is>
      </c>
      <c r="F689" s="25">
        <f>VLOOKUP(E689,Assumptions!$A$5:$B$8,2,0)</f>
        <v/>
      </c>
    </row>
    <row r="690">
      <c r="A690" t="inlineStr">
        <is>
          <t>Reports</t>
        </is>
      </c>
      <c r="B690" t="inlineStr">
        <is>
          <t>RetailBanking</t>
        </is>
      </c>
      <c r="C690" t="inlineStr">
        <is>
          <t>ReportSettings.aspx</t>
        </is>
      </c>
      <c r="D690" t="inlineStr">
        <is>
          <t>Reports/RetailBanking/New RetailBanking Report/ReportSettings.aspx</t>
        </is>
      </c>
      <c r="E690" t="inlineStr">
        <is>
          <t>Report</t>
        </is>
      </c>
      <c r="F690" s="25">
        <f>VLOOKUP(E690,Assumptions!$A$5:$B$8,2,0)</f>
        <v/>
      </c>
    </row>
    <row r="691">
      <c r="A691" t="inlineStr">
        <is>
          <t>Reports</t>
        </is>
      </c>
      <c r="B691" t="inlineStr">
        <is>
          <t>RetailBanking</t>
        </is>
      </c>
      <c r="C691" t="inlineStr">
        <is>
          <t>StockStatementDueDate_New.aspx</t>
        </is>
      </c>
      <c r="D691" t="inlineStr">
        <is>
          <t>Reports/RetailBanking/New RetailBanking Report/StockStatementDueDate_New.aspx</t>
        </is>
      </c>
      <c r="E691" t="inlineStr">
        <is>
          <t>Report</t>
        </is>
      </c>
      <c r="F691" s="25">
        <f>VLOOKUP(E691,Assumptions!$A$5:$B$8,2,0)</f>
        <v/>
      </c>
    </row>
    <row r="692">
      <c r="A692" t="inlineStr">
        <is>
          <t>Reports</t>
        </is>
      </c>
      <c r="B692" t="inlineStr">
        <is>
          <t>RetailBanking</t>
        </is>
      </c>
      <c r="C692" t="inlineStr">
        <is>
          <t>UserdefinedClientKYCLetter.aspx</t>
        </is>
      </c>
      <c r="D692" t="inlineStr">
        <is>
          <t>Reports/RetailBanking/New RetailBanking Report/UserdefinedClientKYCLetter.aspx</t>
        </is>
      </c>
      <c r="E692" t="inlineStr">
        <is>
          <t>Report</t>
        </is>
      </c>
      <c r="F692" s="25">
        <f>VLOOKUP(E692,Assumptions!$A$5:$B$8,2,0)</f>
        <v/>
      </c>
    </row>
    <row r="693">
      <c r="A693" t="inlineStr">
        <is>
          <t>Reports</t>
        </is>
      </c>
      <c r="B693" t="inlineStr">
        <is>
          <t>RetailBanking</t>
        </is>
      </c>
      <c r="C693" t="inlineStr">
        <is>
          <t>UserdefinedWelcomeLetter.aspx</t>
        </is>
      </c>
      <c r="D693" t="inlineStr">
        <is>
          <t>Reports/RetailBanking/New RetailBanking Report/UserdefinedWelcomeLetter.aspx</t>
        </is>
      </c>
      <c r="E693" t="inlineStr">
        <is>
          <t>Report</t>
        </is>
      </c>
      <c r="F693" s="25">
        <f>VLOOKUP(E693,Assumptions!$A$5:$B$8,2,0)</f>
        <v/>
      </c>
    </row>
    <row r="694">
      <c r="A694" t="inlineStr">
        <is>
          <t>Reports</t>
        </is>
      </c>
      <c r="B694" t="inlineStr">
        <is>
          <t>RetailBanking</t>
        </is>
      </c>
      <c r="C694" t="inlineStr">
        <is>
          <t>x_UserdefinedOverdueLetter.aspx</t>
        </is>
      </c>
      <c r="D694" t="inlineStr">
        <is>
          <t>Reports/RetailBanking/New RetailBanking Report/x_UserdefinedOverdueLetter.aspx</t>
        </is>
      </c>
      <c r="E694" t="inlineStr">
        <is>
          <t>Report</t>
        </is>
      </c>
      <c r="F694" s="25">
        <f>VLOOKUP(E694,Assumptions!$A$5:$B$8,2,0)</f>
        <v/>
      </c>
    </row>
    <row r="695">
      <c r="A695" t="inlineStr">
        <is>
          <t>Reports</t>
        </is>
      </c>
      <c r="B695" t="inlineStr">
        <is>
          <t>RetailBanking</t>
        </is>
      </c>
      <c r="C695" t="inlineStr">
        <is>
          <t>NonOperationAccPostReport.aspx</t>
        </is>
      </c>
      <c r="D695" t="inlineStr">
        <is>
          <t>Reports/RetailBanking/NonOperationAccPostReport.aspx</t>
        </is>
      </c>
      <c r="E695" t="inlineStr">
        <is>
          <t>Report</t>
        </is>
      </c>
      <c r="F695" s="25">
        <f>VLOOKUP(E695,Assumptions!$A$5:$B$8,2,0)</f>
        <v/>
      </c>
    </row>
    <row r="696">
      <c r="A696" t="inlineStr">
        <is>
          <t>Reports</t>
        </is>
      </c>
      <c r="B696" t="inlineStr">
        <is>
          <t>RetailBanking</t>
        </is>
      </c>
      <c r="C696" t="inlineStr">
        <is>
          <t>ODCustRptRtdDate.aspx</t>
        </is>
      </c>
      <c r="D696" t="inlineStr">
        <is>
          <t>Reports/RetailBanking/ODCustRptRtdDate.aspx</t>
        </is>
      </c>
      <c r="E696" t="inlineStr">
        <is>
          <t>Report</t>
        </is>
      </c>
      <c r="F696" s="25">
        <f>VLOOKUP(E696,Assumptions!$A$5:$B$8,2,0)</f>
        <v/>
      </c>
    </row>
    <row r="697">
      <c r="A697" t="inlineStr">
        <is>
          <t>Reports</t>
        </is>
      </c>
      <c r="B697" t="inlineStr">
        <is>
          <t>RetailBanking</t>
        </is>
      </c>
      <c r="C697" t="inlineStr">
        <is>
          <t>OSCShowReport.aspx</t>
        </is>
      </c>
      <c r="D697" t="inlineStr">
        <is>
          <t>Reports/RetailBanking/OSCStatements/OSCShowReport.aspx</t>
        </is>
      </c>
      <c r="E697" t="inlineStr">
        <is>
          <t>Report</t>
        </is>
      </c>
      <c r="F697" s="25">
        <f>VLOOKUP(E697,Assumptions!$A$5:$B$8,2,0)</f>
        <v/>
      </c>
    </row>
    <row r="698">
      <c r="A698" t="inlineStr">
        <is>
          <t>Reports</t>
        </is>
      </c>
      <c r="B698" t="inlineStr">
        <is>
          <t>RetailBanking</t>
        </is>
      </c>
      <c r="C698" t="inlineStr">
        <is>
          <t>OSCShowReportV1.aspx</t>
        </is>
      </c>
      <c r="D698" t="inlineStr">
        <is>
          <t>Reports/RetailBanking/OSCStatementsV1/OSCShowReportV1.aspx</t>
        </is>
      </c>
      <c r="E698" t="inlineStr">
        <is>
          <t>Report</t>
        </is>
      </c>
      <c r="F698" s="25">
        <f>VLOOKUP(E698,Assumptions!$A$5:$B$8,2,0)</f>
        <v/>
      </c>
    </row>
    <row r="699">
      <c r="A699" t="inlineStr">
        <is>
          <t>Reports</t>
        </is>
      </c>
      <c r="B699" t="inlineStr">
        <is>
          <t>RetailBanking</t>
        </is>
      </c>
      <c r="C699" t="inlineStr">
        <is>
          <t>st_ViewReports.aspx</t>
        </is>
      </c>
      <c r="D699" t="inlineStr">
        <is>
          <t>Reports/RetailBanking/OSSStatement/st_ViewReports.aspx</t>
        </is>
      </c>
      <c r="E699" t="inlineStr">
        <is>
          <t>Report</t>
        </is>
      </c>
      <c r="F699" s="25">
        <f>VLOOKUP(E699,Assumptions!$A$5:$B$8,2,0)</f>
        <v/>
      </c>
    </row>
    <row r="700">
      <c r="A700" t="inlineStr">
        <is>
          <t>Reports</t>
        </is>
      </c>
      <c r="B700" t="inlineStr">
        <is>
          <t>RetailBanking</t>
        </is>
      </c>
      <c r="C700" t="inlineStr">
        <is>
          <t>PacsAccStatement.aspx</t>
        </is>
      </c>
      <c r="D700" t="inlineStr">
        <is>
          <t>Reports/RetailBanking/PacsAccStatement.aspx</t>
        </is>
      </c>
      <c r="E700" t="inlineStr">
        <is>
          <t>Report</t>
        </is>
      </c>
      <c r="F700" s="25">
        <f>VLOOKUP(E700,Assumptions!$A$5:$B$8,2,0)</f>
        <v/>
      </c>
    </row>
    <row r="701">
      <c r="A701" t="inlineStr">
        <is>
          <t>Reports</t>
        </is>
      </c>
      <c r="B701" t="inlineStr">
        <is>
          <t>RetailBanking</t>
        </is>
      </c>
      <c r="C701" t="inlineStr">
        <is>
          <t>PigmyAccReceipt.aspx</t>
        </is>
      </c>
      <c r="D701" t="inlineStr">
        <is>
          <t>Reports/RetailBanking/PigmyAccReceipt.aspx</t>
        </is>
      </c>
      <c r="E701" t="inlineStr">
        <is>
          <t>Report</t>
        </is>
      </c>
      <c r="F701" s="25">
        <f>VLOOKUP(E701,Assumptions!$A$5:$B$8,2,0)</f>
        <v/>
      </c>
    </row>
    <row r="702">
      <c r="A702" t="inlineStr">
        <is>
          <t>Reports</t>
        </is>
      </c>
      <c r="B702" t="inlineStr">
        <is>
          <t>RetailBanking</t>
        </is>
      </c>
      <c r="C702" t="inlineStr">
        <is>
          <t>PoliceCaseReports.aspx</t>
        </is>
      </c>
      <c r="D702" t="inlineStr">
        <is>
          <t>Reports/RetailBanking/PoliceCaseReports.aspx</t>
        </is>
      </c>
      <c r="E702" t="inlineStr">
        <is>
          <t>Report</t>
        </is>
      </c>
      <c r="F702" s="25">
        <f>VLOOKUP(E702,Assumptions!$A$5:$B$8,2,0)</f>
        <v/>
      </c>
    </row>
    <row r="703">
      <c r="A703" t="inlineStr">
        <is>
          <t>Reports</t>
        </is>
      </c>
      <c r="B703" t="inlineStr">
        <is>
          <t>RetailBanking</t>
        </is>
      </c>
      <c r="C703" t="inlineStr">
        <is>
          <t>PolicyReport.aspx</t>
        </is>
      </c>
      <c r="D703" t="inlineStr">
        <is>
          <t>Reports/RetailBanking/PolicyReport.aspx</t>
        </is>
      </c>
      <c r="E703" t="inlineStr">
        <is>
          <t>Report</t>
        </is>
      </c>
      <c r="F703" s="25">
        <f>VLOOKUP(E703,Assumptions!$A$5:$B$8,2,0)</f>
        <v/>
      </c>
    </row>
    <row r="704">
      <c r="A704" t="inlineStr">
        <is>
          <t>Reports</t>
        </is>
      </c>
      <c r="B704" t="inlineStr">
        <is>
          <t>RetailBanking</t>
        </is>
      </c>
      <c r="C704" t="inlineStr">
        <is>
          <t>PreDisbInfoReport.aspx</t>
        </is>
      </c>
      <c r="D704" t="inlineStr">
        <is>
          <t>Reports/RetailBanking/PreDisbInfoReport.aspx</t>
        </is>
      </c>
      <c r="E704" t="inlineStr">
        <is>
          <t>Report</t>
        </is>
      </c>
      <c r="F704" s="25">
        <f>VLOOKUP(E704,Assumptions!$A$5:$B$8,2,0)</f>
        <v/>
      </c>
    </row>
    <row r="705">
      <c r="A705" t="inlineStr">
        <is>
          <t>Reports</t>
        </is>
      </c>
      <c r="B705" t="inlineStr">
        <is>
          <t>RetailBanking</t>
        </is>
      </c>
      <c r="C705" t="inlineStr">
        <is>
          <t>PrioritySectorAndWeakerSectionReport.aspx</t>
        </is>
      </c>
      <c r="D705" t="inlineStr">
        <is>
          <t>Reports/RetailBanking/PrioritySectorAndWeakerSectionReport.aspx</t>
        </is>
      </c>
      <c r="E705" t="inlineStr">
        <is>
          <t>Report</t>
        </is>
      </c>
      <c r="F705" s="25">
        <f>VLOOKUP(E705,Assumptions!$A$5:$B$8,2,0)</f>
        <v/>
      </c>
    </row>
    <row r="706">
      <c r="A706" t="inlineStr">
        <is>
          <t>Reports</t>
        </is>
      </c>
      <c r="B706" t="inlineStr">
        <is>
          <t>RetailBanking</t>
        </is>
      </c>
      <c r="C706" t="inlineStr">
        <is>
          <t>ProjectionReport.aspx</t>
        </is>
      </c>
      <c r="D706" t="inlineStr">
        <is>
          <t>Reports/RetailBanking/ProjectionReport.aspx</t>
        </is>
      </c>
      <c r="E706" t="inlineStr">
        <is>
          <t>Report</t>
        </is>
      </c>
      <c r="F706" s="25">
        <f>VLOOKUP(E706,Assumptions!$A$5:$B$8,2,0)</f>
        <v/>
      </c>
    </row>
    <row r="707">
      <c r="A707" t="inlineStr">
        <is>
          <t>Reports</t>
        </is>
      </c>
      <c r="B707" t="inlineStr">
        <is>
          <t>RetailBanking</t>
        </is>
      </c>
      <c r="C707" t="inlineStr">
        <is>
          <t>AvailableReportDates.aspx</t>
        </is>
      </c>
      <c r="D707" t="inlineStr">
        <is>
          <t>Reports/RetailBanking/RBI Group/AvailableReportDates.aspx</t>
        </is>
      </c>
      <c r="E707" t="inlineStr">
        <is>
          <t>Report</t>
        </is>
      </c>
      <c r="F707" s="25">
        <f>VLOOKUP(E707,Assumptions!$A$5:$B$8,2,0)</f>
        <v/>
      </c>
    </row>
    <row r="708">
      <c r="A708" t="inlineStr">
        <is>
          <t>Reports</t>
        </is>
      </c>
      <c r="B708" t="inlineStr">
        <is>
          <t>RetailBanking</t>
        </is>
      </c>
      <c r="C708" t="inlineStr">
        <is>
          <t>RBIFormVIII.aspx</t>
        </is>
      </c>
      <c r="D708" t="inlineStr">
        <is>
          <t>Reports/RetailBanking/RBI Group/RBIFormVIII.aspx</t>
        </is>
      </c>
      <c r="E708" t="inlineStr">
        <is>
          <t>Report</t>
        </is>
      </c>
      <c r="F708" s="25">
        <f>VLOOKUP(E708,Assumptions!$A$5:$B$8,2,0)</f>
        <v/>
      </c>
    </row>
    <row r="709">
      <c r="A709" t="inlineStr">
        <is>
          <t>Reports</t>
        </is>
      </c>
      <c r="B709" t="inlineStr">
        <is>
          <t>RetailBanking</t>
        </is>
      </c>
      <c r="C709" t="inlineStr">
        <is>
          <t>RBIAS19Slab.aspx</t>
        </is>
      </c>
      <c r="D709" t="inlineStr">
        <is>
          <t>Reports/RetailBanking/RBI Group/RBIStatement1to10/RBIAuditASReports/RBIAS19Slab.aspx</t>
        </is>
      </c>
      <c r="E709" t="inlineStr">
        <is>
          <t>Report</t>
        </is>
      </c>
      <c r="F709" s="25">
        <f>VLOOKUP(E709,Assumptions!$A$5:$B$8,2,0)</f>
        <v/>
      </c>
    </row>
    <row r="710">
      <c r="A710" t="inlineStr">
        <is>
          <t>Reports</t>
        </is>
      </c>
      <c r="B710" t="inlineStr">
        <is>
          <t>RetailBanking</t>
        </is>
      </c>
      <c r="C710" t="inlineStr">
        <is>
          <t>RBIAdditionalStatementReoprts.aspx</t>
        </is>
      </c>
      <c r="D710" t="inlineStr">
        <is>
          <t>Reports/RetailBanking/RBI Group/RBIStatement1to10/RBIAuditASReports/RBIAdditionalStatementReoprts.aspx</t>
        </is>
      </c>
      <c r="E710" t="inlineStr">
        <is>
          <t>Report</t>
        </is>
      </c>
      <c r="F710" s="25">
        <f>VLOOKUP(E710,Assumptions!$A$5:$B$8,2,0)</f>
        <v/>
      </c>
    </row>
    <row r="711">
      <c r="A711" t="inlineStr">
        <is>
          <t>Reports</t>
        </is>
      </c>
      <c r="B711" t="inlineStr">
        <is>
          <t>RetailBanking</t>
        </is>
      </c>
      <c r="C711" t="inlineStr">
        <is>
          <t>rp_GroupValuesTreeView.aspx</t>
        </is>
      </c>
      <c r="D711" t="inlineStr">
        <is>
          <t>Reports/RetailBanking/RBI Group/rp_GroupValuesTreeView.aspx</t>
        </is>
      </c>
      <c r="E711" t="inlineStr">
        <is>
          <t>Report</t>
        </is>
      </c>
      <c r="F711" s="25">
        <f>VLOOKUP(E711,Assumptions!$A$5:$B$8,2,0)</f>
        <v/>
      </c>
    </row>
    <row r="712">
      <c r="A712" t="inlineStr">
        <is>
          <t>Reports</t>
        </is>
      </c>
      <c r="B712" t="inlineStr">
        <is>
          <t>RetailBanking</t>
        </is>
      </c>
      <c r="C712" t="inlineStr">
        <is>
          <t>RDInstReport.aspx</t>
        </is>
      </c>
      <c r="D712" t="inlineStr">
        <is>
          <t>Reports/RetailBanking/RDInstReport.aspx</t>
        </is>
      </c>
      <c r="E712" t="inlineStr">
        <is>
          <t>Report</t>
        </is>
      </c>
      <c r="F712" s="25">
        <f>VLOOKUP(E712,Assumptions!$A$5:$B$8,2,0)</f>
        <v/>
      </c>
    </row>
    <row r="713">
      <c r="A713" t="inlineStr">
        <is>
          <t>Reports</t>
        </is>
      </c>
      <c r="B713" t="inlineStr">
        <is>
          <t>RetailBanking</t>
        </is>
      </c>
      <c r="C713" t="inlineStr">
        <is>
          <t>RTGSBatchReport.aspx</t>
        </is>
      </c>
      <c r="D713" t="inlineStr">
        <is>
          <t>Reports/RetailBanking/RTGS/RTGSBatchReport.aspx</t>
        </is>
      </c>
      <c r="E713" t="inlineStr">
        <is>
          <t>Report</t>
        </is>
      </c>
      <c r="F713" s="25">
        <f>VLOOKUP(E713,Assumptions!$A$5:$B$8,2,0)</f>
        <v/>
      </c>
    </row>
    <row r="714">
      <c r="A714" t="inlineStr">
        <is>
          <t>Reports</t>
        </is>
      </c>
      <c r="B714" t="inlineStr">
        <is>
          <t>RetailBanking</t>
        </is>
      </c>
      <c r="C714" t="inlineStr">
        <is>
          <t>RTGSOwUnAuthorized.aspx</t>
        </is>
      </c>
      <c r="D714" t="inlineStr">
        <is>
          <t>Reports/RetailBanking/RTGS/RTGSOwUnAuthorized.aspx</t>
        </is>
      </c>
      <c r="E714" t="inlineStr">
        <is>
          <t>Report</t>
        </is>
      </c>
      <c r="F714" s="25">
        <f>VLOOKUP(E714,Assumptions!$A$5:$B$8,2,0)</f>
        <v/>
      </c>
    </row>
    <row r="715">
      <c r="A715" t="inlineStr">
        <is>
          <t>Reports</t>
        </is>
      </c>
      <c r="B715" t="inlineStr">
        <is>
          <t>RetailBanking</t>
        </is>
      </c>
      <c r="C715" t="inlineStr">
        <is>
          <t>RTGSReportoptions.aspx</t>
        </is>
      </c>
      <c r="D715" t="inlineStr">
        <is>
          <t>Reports/RetailBanking/RTGS/RTGSReportoptions.aspx</t>
        </is>
      </c>
      <c r="E715" t="inlineStr">
        <is>
          <t>Report</t>
        </is>
      </c>
      <c r="F715" s="25">
        <f>VLOOKUP(E715,Assumptions!$A$5:$B$8,2,0)</f>
        <v/>
      </c>
    </row>
    <row r="716">
      <c r="A716" t="inlineStr">
        <is>
          <t>Reports</t>
        </is>
      </c>
      <c r="B716" t="inlineStr">
        <is>
          <t>RetailBanking</t>
        </is>
      </c>
      <c r="C716" t="inlineStr">
        <is>
          <t>x_RTGSRetMarkReport.aspx</t>
        </is>
      </c>
      <c r="D716" t="inlineStr">
        <is>
          <t>Reports/RetailBanking/RTGS/x_RTGSRetMarkReport.aspx</t>
        </is>
      </c>
      <c r="E716" t="inlineStr">
        <is>
          <t>Report</t>
        </is>
      </c>
      <c r="F716" s="25">
        <f>VLOOKUP(E716,Assumptions!$A$5:$B$8,2,0)</f>
        <v/>
      </c>
    </row>
    <row r="717">
      <c r="A717" t="inlineStr">
        <is>
          <t>Reports</t>
        </is>
      </c>
      <c r="B717" t="inlineStr">
        <is>
          <t>RetailBanking</t>
        </is>
      </c>
      <c r="C717" t="inlineStr">
        <is>
          <t>x_RTGSTranSummary.aspx</t>
        </is>
      </c>
      <c r="D717" t="inlineStr">
        <is>
          <t>Reports/RetailBanking/RTGS/x_RTGSTranSummary.aspx</t>
        </is>
      </c>
      <c r="E717" t="inlineStr">
        <is>
          <t>Report</t>
        </is>
      </c>
      <c r="F717" s="25">
        <f>VLOOKUP(E717,Assumptions!$A$5:$B$8,2,0)</f>
        <v/>
      </c>
    </row>
    <row r="718">
      <c r="A718" t="inlineStr">
        <is>
          <t>Reports</t>
        </is>
      </c>
      <c r="B718" t="inlineStr">
        <is>
          <t>RetailBanking</t>
        </is>
      </c>
      <c r="C718" t="inlineStr">
        <is>
          <t>ReducingLimitReport.aspx</t>
        </is>
      </c>
      <c r="D718" t="inlineStr">
        <is>
          <t>Reports/RetailBanking/ReducingLimitReport.aspx</t>
        </is>
      </c>
      <c r="E718" t="inlineStr">
        <is>
          <t>Report</t>
        </is>
      </c>
      <c r="F718" s="25">
        <f>VLOOKUP(E718,Assumptions!$A$5:$B$8,2,0)</f>
        <v/>
      </c>
    </row>
    <row r="719">
      <c r="A719" t="inlineStr">
        <is>
          <t>Reports</t>
        </is>
      </c>
      <c r="B719" t="inlineStr">
        <is>
          <t>RetailBanking</t>
        </is>
      </c>
      <c r="C719" t="inlineStr">
        <is>
          <t>ReportOptions.aspx</t>
        </is>
      </c>
      <c r="D719" t="inlineStr">
        <is>
          <t>Reports/RetailBanking/ReportOptions.aspx</t>
        </is>
      </c>
      <c r="E719" t="inlineStr">
        <is>
          <t>Report</t>
        </is>
      </c>
      <c r="F719" s="25">
        <f>VLOOKUP(E719,Assumptions!$A$5:$B$8,2,0)</f>
        <v/>
      </c>
    </row>
    <row r="720">
      <c r="A720" t="inlineStr">
        <is>
          <t>Reports</t>
        </is>
      </c>
      <c r="B720" t="inlineStr">
        <is>
          <t>RetailBanking</t>
        </is>
      </c>
      <c r="C720" t="inlineStr">
        <is>
          <t>ReportOptionsDailyBook.aspx</t>
        </is>
      </c>
      <c r="D720" t="inlineStr">
        <is>
          <t>Reports/RetailBanking/ReportOptionsDailyBook.aspx</t>
        </is>
      </c>
      <c r="E720" t="inlineStr">
        <is>
          <t>Report</t>
        </is>
      </c>
      <c r="F720" s="25">
        <f>VLOOKUP(E720,Assumptions!$A$5:$B$8,2,0)</f>
        <v/>
      </c>
    </row>
    <row r="721">
      <c r="A721" t="inlineStr">
        <is>
          <t>Reports</t>
        </is>
      </c>
      <c r="B721" t="inlineStr">
        <is>
          <t>RetailBanking</t>
        </is>
      </c>
      <c r="C721" t="inlineStr">
        <is>
          <t>ReportSubDetails.aspx</t>
        </is>
      </c>
      <c r="D721" t="inlineStr">
        <is>
          <t>Reports/RetailBanking/ReportSubDetails.aspx</t>
        </is>
      </c>
      <c r="E721" t="inlineStr">
        <is>
          <t>Report</t>
        </is>
      </c>
      <c r="F721" s="25">
        <f>VLOOKUP(E721,Assumptions!$A$5:$B$8,2,0)</f>
        <v/>
      </c>
    </row>
    <row r="722">
      <c r="A722" t="inlineStr">
        <is>
          <t>Reports</t>
        </is>
      </c>
      <c r="B722" t="inlineStr">
        <is>
          <t>RetailBanking</t>
        </is>
      </c>
      <c r="C722" t="inlineStr">
        <is>
          <t>Reports.aspx</t>
        </is>
      </c>
      <c r="D722" t="inlineStr">
        <is>
          <t>Reports/RetailBanking/Reports.aspx</t>
        </is>
      </c>
      <c r="E722" t="inlineStr">
        <is>
          <t>Report</t>
        </is>
      </c>
      <c r="F722" s="25">
        <f>VLOOKUP(E722,Assumptions!$A$5:$B$8,2,0)</f>
        <v/>
      </c>
    </row>
    <row r="723">
      <c r="A723" t="inlineStr">
        <is>
          <t>Reports</t>
        </is>
      </c>
      <c r="B723" t="inlineStr">
        <is>
          <t>RetailBanking</t>
        </is>
      </c>
      <c r="C723" t="inlineStr">
        <is>
          <t>RiskCategoryReport.aspx</t>
        </is>
      </c>
      <c r="D723" t="inlineStr">
        <is>
          <t>Reports/RetailBanking/RiskCategoryReport.aspx</t>
        </is>
      </c>
      <c r="E723" t="inlineStr">
        <is>
          <t>Report</t>
        </is>
      </c>
      <c r="F723" s="25">
        <f>VLOOKUP(E723,Assumptions!$A$5:$B$8,2,0)</f>
        <v/>
      </c>
    </row>
    <row r="724">
      <c r="A724" t="inlineStr">
        <is>
          <t>Reports</t>
        </is>
      </c>
      <c r="B724" t="inlineStr">
        <is>
          <t>RetailBanking</t>
        </is>
      </c>
      <c r="C724" t="inlineStr">
        <is>
          <t>SGFReport.aspx</t>
        </is>
      </c>
      <c r="D724" t="inlineStr">
        <is>
          <t>Reports/RetailBanking/SGFReport.aspx</t>
        </is>
      </c>
      <c r="E724" t="inlineStr">
        <is>
          <t>Report</t>
        </is>
      </c>
      <c r="F724" s="25">
        <f>VLOOKUP(E724,Assumptions!$A$5:$B$8,2,0)</f>
        <v/>
      </c>
    </row>
    <row r="725">
      <c r="A725" t="inlineStr">
        <is>
          <t>Reports</t>
        </is>
      </c>
      <c r="B725" t="inlineStr">
        <is>
          <t>RetailBanking</t>
        </is>
      </c>
      <c r="C725" t="inlineStr">
        <is>
          <t>SLBCReports.aspx</t>
        </is>
      </c>
      <c r="D725" t="inlineStr">
        <is>
          <t>Reports/RetailBanking/SLBCReports.aspx</t>
        </is>
      </c>
      <c r="E725" t="inlineStr">
        <is>
          <t>Report</t>
        </is>
      </c>
      <c r="F725" s="25">
        <f>VLOOKUP(E725,Assumptions!$A$5:$B$8,2,0)</f>
        <v/>
      </c>
    </row>
    <row r="726">
      <c r="A726" t="inlineStr">
        <is>
          <t>Reports</t>
        </is>
      </c>
      <c r="B726" t="inlineStr">
        <is>
          <t>RetailBanking</t>
        </is>
      </c>
      <c r="C726" t="inlineStr">
        <is>
          <t>SMAMarking.aspx</t>
        </is>
      </c>
      <c r="D726" t="inlineStr">
        <is>
          <t>Reports/RetailBanking/SMAMarking.aspx</t>
        </is>
      </c>
      <c r="E726" t="inlineStr">
        <is>
          <t>Report</t>
        </is>
      </c>
      <c r="F726" s="25">
        <f>VLOOKUP(E726,Assumptions!$A$5:$B$8,2,0)</f>
        <v/>
      </c>
    </row>
    <row r="727">
      <c r="A727" t="inlineStr">
        <is>
          <t>Reports</t>
        </is>
      </c>
      <c r="B727" t="inlineStr">
        <is>
          <t>RetailBanking</t>
        </is>
      </c>
      <c r="C727" t="inlineStr">
        <is>
          <t>SMSLogReport.aspx</t>
        </is>
      </c>
      <c r="D727" t="inlineStr">
        <is>
          <t>Reports/RetailBanking/SMSLogReport.aspx</t>
        </is>
      </c>
      <c r="E727" t="inlineStr">
        <is>
          <t>Report</t>
        </is>
      </c>
      <c r="F727" s="25">
        <f>VLOOKUP(E727,Assumptions!$A$5:$B$8,2,0)</f>
        <v/>
      </c>
    </row>
    <row r="728">
      <c r="A728" t="inlineStr">
        <is>
          <t>Reports</t>
        </is>
      </c>
      <c r="B728" t="inlineStr">
        <is>
          <t>RetailBanking</t>
        </is>
      </c>
      <c r="C728" t="inlineStr">
        <is>
          <t>STRKYCDetailsPopUp.aspx</t>
        </is>
      </c>
      <c r="D728" t="inlineStr">
        <is>
          <t>Reports/RetailBanking/STR/STRKYCDetailsPopUp.aspx</t>
        </is>
      </c>
      <c r="E728" t="inlineStr">
        <is>
          <t>Report</t>
        </is>
      </c>
      <c r="F728" s="25">
        <f>VLOOKUP(E728,Assumptions!$A$5:$B$8,2,0)</f>
        <v/>
      </c>
    </row>
    <row r="729">
      <c r="A729" t="inlineStr">
        <is>
          <t>Reports</t>
        </is>
      </c>
      <c r="B729" t="inlineStr">
        <is>
          <t>RetailBanking</t>
        </is>
      </c>
      <c r="C729" t="inlineStr">
        <is>
          <t>STR.aspx</t>
        </is>
      </c>
      <c r="D729" t="inlineStr">
        <is>
          <t>Reports/RetailBanking/STR/Version2/STR.aspx</t>
        </is>
      </c>
      <c r="E729" t="inlineStr">
        <is>
          <t>Report</t>
        </is>
      </c>
      <c r="F729" s="25">
        <f>VLOOKUP(E729,Assumptions!$A$5:$B$8,2,0)</f>
        <v/>
      </c>
    </row>
    <row r="730">
      <c r="A730" t="inlineStr">
        <is>
          <t>Reports</t>
        </is>
      </c>
      <c r="B730" t="inlineStr">
        <is>
          <t>RetailBanking</t>
        </is>
      </c>
      <c r="C730" t="inlineStr">
        <is>
          <t>ScrutinyReport.aspx</t>
        </is>
      </c>
      <c r="D730" t="inlineStr">
        <is>
          <t>Reports/RetailBanking/ScrutinyReport.aspx</t>
        </is>
      </c>
      <c r="E730" t="inlineStr">
        <is>
          <t>Report</t>
        </is>
      </c>
      <c r="F730" s="25">
        <f>VLOOKUP(E730,Assumptions!$A$5:$B$8,2,0)</f>
        <v/>
      </c>
    </row>
    <row r="731">
      <c r="A731" t="inlineStr">
        <is>
          <t>Reports</t>
        </is>
      </c>
      <c r="B731" t="inlineStr">
        <is>
          <t>RetailBanking</t>
        </is>
      </c>
      <c r="C731" t="inlineStr">
        <is>
          <t>ShareMemIntRcvReport.aspx</t>
        </is>
      </c>
      <c r="D731" t="inlineStr">
        <is>
          <t>Reports/RetailBanking/ShareMemIntRcvReport.aspx</t>
        </is>
      </c>
      <c r="E731" t="inlineStr">
        <is>
          <t>Report</t>
        </is>
      </c>
      <c r="F731" s="25">
        <f>VLOOKUP(E731,Assumptions!$A$5:$B$8,2,0)</f>
        <v/>
      </c>
    </row>
    <row r="732">
      <c r="A732" t="inlineStr">
        <is>
          <t>Reports</t>
        </is>
      </c>
      <c r="B732" t="inlineStr">
        <is>
          <t>RetailBanking</t>
        </is>
      </c>
      <c r="C732" t="inlineStr">
        <is>
          <t>SocSchemeDailyReport.aspx</t>
        </is>
      </c>
      <c r="D732" t="inlineStr">
        <is>
          <t>Reports/RetailBanking/SocSchemeDailyReport.aspx</t>
        </is>
      </c>
      <c r="E732" t="inlineStr">
        <is>
          <t>Report</t>
        </is>
      </c>
      <c r="F732" s="25">
        <f>VLOOKUP(E732,Assumptions!$A$5:$B$8,2,0)</f>
        <v/>
      </c>
    </row>
    <row r="733">
      <c r="A733" t="inlineStr">
        <is>
          <t>Reports</t>
        </is>
      </c>
      <c r="B733" t="inlineStr">
        <is>
          <t>RetailBanking</t>
        </is>
      </c>
      <c r="C733" t="inlineStr">
        <is>
          <t>SocietyReports.aspx</t>
        </is>
      </c>
      <c r="D733" t="inlineStr">
        <is>
          <t>Reports/RetailBanking/SocietyReports.aspx</t>
        </is>
      </c>
      <c r="E733" t="inlineStr">
        <is>
          <t>Report</t>
        </is>
      </c>
      <c r="F733" s="25">
        <f>VLOOKUP(E733,Assumptions!$A$5:$B$8,2,0)</f>
        <v/>
      </c>
    </row>
    <row r="734">
      <c r="A734" t="inlineStr">
        <is>
          <t>Reports</t>
        </is>
      </c>
      <c r="B734" t="inlineStr">
        <is>
          <t>RetailBanking</t>
        </is>
      </c>
      <c r="C734" t="inlineStr">
        <is>
          <t>StaffLoanList.aspx</t>
        </is>
      </c>
      <c r="D734" t="inlineStr">
        <is>
          <t>Reports/RetailBanking/StaffLoanList.aspx</t>
        </is>
      </c>
      <c r="E734" t="inlineStr">
        <is>
          <t>Report</t>
        </is>
      </c>
      <c r="F734" s="25">
        <f>VLOOKUP(E734,Assumptions!$A$5:$B$8,2,0)</f>
        <v/>
      </c>
    </row>
    <row r="735">
      <c r="A735" t="inlineStr">
        <is>
          <t>Reports</t>
        </is>
      </c>
      <c r="B735" t="inlineStr">
        <is>
          <t>RetailBanking</t>
        </is>
      </c>
      <c r="C735" t="inlineStr">
        <is>
          <t>StandingInstReport.aspx</t>
        </is>
      </c>
      <c r="D735" t="inlineStr">
        <is>
          <t>Reports/RetailBanking/StandingInstReport.aspx</t>
        </is>
      </c>
      <c r="E735" t="inlineStr">
        <is>
          <t>Report</t>
        </is>
      </c>
      <c r="F735" s="25">
        <f>VLOOKUP(E735,Assumptions!$A$5:$B$8,2,0)</f>
        <v/>
      </c>
    </row>
    <row r="736">
      <c r="A736" t="inlineStr">
        <is>
          <t>Reports</t>
        </is>
      </c>
      <c r="B736" t="inlineStr">
        <is>
          <t>RetailBanking</t>
        </is>
      </c>
      <c r="C736" t="inlineStr">
        <is>
          <t>StatementNo7.aspx</t>
        </is>
      </c>
      <c r="D736" t="inlineStr">
        <is>
          <t>Reports/RetailBanking/StatementNo7.aspx</t>
        </is>
      </c>
      <c r="E736" t="inlineStr">
        <is>
          <t>Report</t>
        </is>
      </c>
      <c r="F736" s="25">
        <f>VLOOKUP(E736,Assumptions!$A$5:$B$8,2,0)</f>
        <v/>
      </c>
    </row>
    <row r="737">
      <c r="A737" t="inlineStr">
        <is>
          <t>Reports</t>
        </is>
      </c>
      <c r="B737" t="inlineStr">
        <is>
          <t>RetailBanking</t>
        </is>
      </c>
      <c r="C737" t="inlineStr">
        <is>
          <t>StatementNo9.aspx</t>
        </is>
      </c>
      <c r="D737" t="inlineStr">
        <is>
          <t>Reports/RetailBanking/StatementNo9.aspx</t>
        </is>
      </c>
      <c r="E737" t="inlineStr">
        <is>
          <t>Report</t>
        </is>
      </c>
      <c r="F737" s="25">
        <f>VLOOKUP(E737,Assumptions!$A$5:$B$8,2,0)</f>
        <v/>
      </c>
    </row>
    <row r="738">
      <c r="A738" t="inlineStr">
        <is>
          <t>Reports</t>
        </is>
      </c>
      <c r="B738" t="inlineStr">
        <is>
          <t>RetailBanking</t>
        </is>
      </c>
      <c r="C738" t="inlineStr">
        <is>
          <t>SubMemChargesReport.aspx</t>
        </is>
      </c>
      <c r="D738" t="inlineStr">
        <is>
          <t>Reports/RetailBanking/SubMemChargesReport.aspx</t>
        </is>
      </c>
      <c r="E738" t="inlineStr">
        <is>
          <t>Report</t>
        </is>
      </c>
      <c r="F738" s="25">
        <f>VLOOKUP(E738,Assumptions!$A$5:$B$8,2,0)</f>
        <v/>
      </c>
    </row>
    <row r="739">
      <c r="A739" t="inlineStr">
        <is>
          <t>Reports</t>
        </is>
      </c>
      <c r="B739" t="inlineStr">
        <is>
          <t>RetailBanking</t>
        </is>
      </c>
      <c r="C739" t="inlineStr">
        <is>
          <t>SweepAccountStatement.aspx</t>
        </is>
      </c>
      <c r="D739" t="inlineStr">
        <is>
          <t>Reports/RetailBanking/SweepAccountStatement.aspx</t>
        </is>
      </c>
      <c r="E739" t="inlineStr">
        <is>
          <t>Report</t>
        </is>
      </c>
      <c r="F739" s="25">
        <f>VLOOKUP(E739,Assumptions!$A$5:$B$8,2,0)</f>
        <v/>
      </c>
    </row>
    <row r="740">
      <c r="A740" t="inlineStr">
        <is>
          <t>Reports</t>
        </is>
      </c>
      <c r="B740" t="inlineStr">
        <is>
          <t>RetailBanking</t>
        </is>
      </c>
      <c r="C740" t="inlineStr">
        <is>
          <t>Form15GHReportXML.aspx</t>
        </is>
      </c>
      <c r="D740" t="inlineStr">
        <is>
          <t>Reports/RetailBanking/TDS/Form15GHReportXML.aspx</t>
        </is>
      </c>
      <c r="E740" t="inlineStr">
        <is>
          <t>Report</t>
        </is>
      </c>
      <c r="F740" s="25">
        <f>VLOOKUP(E740,Assumptions!$A$5:$B$8,2,0)</f>
        <v/>
      </c>
    </row>
    <row r="741">
      <c r="A741" t="inlineStr">
        <is>
          <t>Reports</t>
        </is>
      </c>
      <c r="B741" t="inlineStr">
        <is>
          <t>RetailBanking</t>
        </is>
      </c>
      <c r="C741" t="inlineStr">
        <is>
          <t>TDSDetailsSummaryReport.aspx</t>
        </is>
      </c>
      <c r="D741" t="inlineStr">
        <is>
          <t>Reports/RetailBanking/TDS/TDSDetailsSummaryReport.aspx</t>
        </is>
      </c>
      <c r="E741" t="inlineStr">
        <is>
          <t>Report</t>
        </is>
      </c>
      <c r="F741" s="25">
        <f>VLOOKUP(E741,Assumptions!$A$5:$B$8,2,0)</f>
        <v/>
      </c>
    </row>
    <row r="742">
      <c r="A742" t="inlineStr">
        <is>
          <t>Reports</t>
        </is>
      </c>
      <c r="B742" t="inlineStr">
        <is>
          <t>RetailBanking</t>
        </is>
      </c>
      <c r="C742" t="inlineStr">
        <is>
          <t>TDSReversalReportOption.aspx</t>
        </is>
      </c>
      <c r="D742" t="inlineStr">
        <is>
          <t>Reports/RetailBanking/TDS/TDSReversalReportOption.aspx</t>
        </is>
      </c>
      <c r="E742" t="inlineStr">
        <is>
          <t>Report</t>
        </is>
      </c>
      <c r="F742" s="25">
        <f>VLOOKUP(E742,Assumptions!$A$5:$B$8,2,0)</f>
        <v/>
      </c>
    </row>
    <row r="743">
      <c r="A743" t="inlineStr">
        <is>
          <t>Reports</t>
        </is>
      </c>
      <c r="B743" t="inlineStr">
        <is>
          <t>RetailBanking</t>
        </is>
      </c>
      <c r="C743" t="inlineStr">
        <is>
          <t>TakeOverLoanReport.aspx</t>
        </is>
      </c>
      <c r="D743" t="inlineStr">
        <is>
          <t>Reports/RetailBanking/TakeOverLoanReport.aspx</t>
        </is>
      </c>
      <c r="E743" t="inlineStr">
        <is>
          <t>Report</t>
        </is>
      </c>
      <c r="F743" s="25">
        <f>VLOOKUP(E743,Assumptions!$A$5:$B$8,2,0)</f>
        <v/>
      </c>
    </row>
    <row r="744">
      <c r="A744" t="inlineStr">
        <is>
          <t>Reports</t>
        </is>
      </c>
      <c r="B744" t="inlineStr">
        <is>
          <t>RetailBanking</t>
        </is>
      </c>
      <c r="C744" t="inlineStr">
        <is>
          <t>TopNReports.aspx</t>
        </is>
      </c>
      <c r="D744" t="inlineStr">
        <is>
          <t>Reports/RetailBanking/TopNReports.aspx</t>
        </is>
      </c>
      <c r="E744" t="inlineStr">
        <is>
          <t>Report</t>
        </is>
      </c>
      <c r="F744" s="25">
        <f>VLOOKUP(E744,Assumptions!$A$5:$B$8,2,0)</f>
        <v/>
      </c>
    </row>
    <row r="745">
      <c r="A745" t="inlineStr">
        <is>
          <t>Reports</t>
        </is>
      </c>
      <c r="B745" t="inlineStr">
        <is>
          <t>RetailBanking</t>
        </is>
      </c>
      <c r="C745" t="inlineStr">
        <is>
          <t>TransactionReportSettings.aspx</t>
        </is>
      </c>
      <c r="D745" t="inlineStr">
        <is>
          <t>Reports/RetailBanking/Transaction/TransactionReportSettings.aspx</t>
        </is>
      </c>
      <c r="E745" t="inlineStr">
        <is>
          <t>Report</t>
        </is>
      </c>
      <c r="F745" s="25">
        <f>VLOOKUP(E745,Assumptions!$A$5:$B$8,2,0)</f>
        <v/>
      </c>
    </row>
    <row r="746">
      <c r="A746" t="inlineStr">
        <is>
          <t>Reports</t>
        </is>
      </c>
      <c r="B746" t="inlineStr">
        <is>
          <t>RetailBanking</t>
        </is>
      </c>
      <c r="C746" t="inlineStr">
        <is>
          <t>TransactionSourceReport.aspx</t>
        </is>
      </c>
      <c r="D746" t="inlineStr">
        <is>
          <t>Reports/RetailBanking/Transaction/TransactionSourceReport.aspx</t>
        </is>
      </c>
      <c r="E746" t="inlineStr">
        <is>
          <t>Report</t>
        </is>
      </c>
      <c r="F746" s="25">
        <f>VLOOKUP(E746,Assumptions!$A$5:$B$8,2,0)</f>
        <v/>
      </c>
    </row>
    <row r="747">
      <c r="A747" t="inlineStr">
        <is>
          <t>Reports</t>
        </is>
      </c>
      <c r="B747" t="inlineStr">
        <is>
          <t>RetailBanking</t>
        </is>
      </c>
      <c r="C747" t="inlineStr">
        <is>
          <t>TreasuryCashPosition.aspx</t>
        </is>
      </c>
      <c r="D747" t="inlineStr">
        <is>
          <t>Reports/RetailBanking/TreasuryCashPosition.aspx</t>
        </is>
      </c>
      <c r="E747" t="inlineStr">
        <is>
          <t>Report</t>
        </is>
      </c>
      <c r="F747" s="25">
        <f>VLOOKUP(E747,Assumptions!$A$5:$B$8,2,0)</f>
        <v/>
      </c>
    </row>
    <row r="748">
      <c r="A748" t="inlineStr">
        <is>
          <t>Reports</t>
        </is>
      </c>
      <c r="B748" t="inlineStr">
        <is>
          <t>RetailBanking</t>
        </is>
      </c>
      <c r="C748" t="inlineStr">
        <is>
          <t>SocietyMiscReports.aspx</t>
        </is>
      </c>
      <c r="D748" t="inlineStr">
        <is>
          <t>Reports/RetailBanking/UtilityReports/SocietyMiscReports.aspx</t>
        </is>
      </c>
      <c r="E748" t="inlineStr">
        <is>
          <t>Report</t>
        </is>
      </c>
      <c r="F748" s="25">
        <f>VLOOKUP(E748,Assumptions!$A$5:$B$8,2,0)</f>
        <v/>
      </c>
    </row>
    <row r="749">
      <c r="A749" t="inlineStr">
        <is>
          <t>Reports</t>
        </is>
      </c>
      <c r="B749" t="inlineStr">
        <is>
          <t>RetailBanking</t>
        </is>
      </c>
      <c r="C749" t="inlineStr">
        <is>
          <t>UtilityReports.aspx</t>
        </is>
      </c>
      <c r="D749" t="inlineStr">
        <is>
          <t>Reports/RetailBanking/UtilityReports/UtilityReports.aspx</t>
        </is>
      </c>
      <c r="E749" t="inlineStr">
        <is>
          <t>Report</t>
        </is>
      </c>
      <c r="F749" s="25">
        <f>VLOOKUP(E749,Assumptions!$A$5:$B$8,2,0)</f>
        <v/>
      </c>
    </row>
    <row r="750">
      <c r="A750" t="inlineStr">
        <is>
          <t>Reports</t>
        </is>
      </c>
      <c r="B750" t="inlineStr">
        <is>
          <t>RetailBanking</t>
        </is>
      </c>
      <c r="C750" t="inlineStr">
        <is>
          <t>WillfulDefaulterReport.aspx</t>
        </is>
      </c>
      <c r="D750" t="inlineStr">
        <is>
          <t>Reports/RetailBanking/WillfulDefaulterReport.aspx</t>
        </is>
      </c>
      <c r="E750" t="inlineStr">
        <is>
          <t>Report</t>
        </is>
      </c>
      <c r="F750" s="25">
        <f>VLOOKUP(E750,Assumptions!$A$5:$B$8,2,0)</f>
        <v/>
      </c>
    </row>
    <row r="751">
      <c r="A751" t="inlineStr">
        <is>
          <t>Reports</t>
        </is>
      </c>
      <c r="B751" t="inlineStr">
        <is>
          <t>RetailBanking</t>
        </is>
      </c>
      <c r="C751" t="inlineStr">
        <is>
          <t>XBRL.aspx</t>
        </is>
      </c>
      <c r="D751" t="inlineStr">
        <is>
          <t>Reports/RetailBanking/XBRL/XBRL.aspx</t>
        </is>
      </c>
      <c r="E751" t="inlineStr">
        <is>
          <t>Report</t>
        </is>
      </c>
      <c r="F751" s="25">
        <f>VLOOKUP(E751,Assumptions!$A$5:$B$8,2,0)</f>
        <v/>
      </c>
    </row>
    <row r="752">
      <c r="A752" t="inlineStr">
        <is>
          <t>Reports</t>
        </is>
      </c>
      <c r="B752" t="inlineStr">
        <is>
          <t>RetailBanking</t>
        </is>
      </c>
      <c r="C752" t="inlineStr">
        <is>
          <t>XBRLOSS8GeneralProfile.aspx</t>
        </is>
      </c>
      <c r="D752" t="inlineStr">
        <is>
          <t>Reports/RetailBanking/XBRL/XBRLOSS8GeneralProfile.aspx</t>
        </is>
      </c>
      <c r="E752" t="inlineStr">
        <is>
          <t>Report</t>
        </is>
      </c>
      <c r="F752" s="25">
        <f>VLOOKUP(E752,Assumptions!$A$5:$B$8,2,0)</f>
        <v/>
      </c>
    </row>
    <row r="753">
      <c r="A753" t="inlineStr">
        <is>
          <t>Reports</t>
        </is>
      </c>
      <c r="B753" t="inlineStr">
        <is>
          <t>RetailBanking</t>
        </is>
      </c>
      <c r="C753" t="inlineStr">
        <is>
          <t>XBRL_SignatoryPopUp.aspx</t>
        </is>
      </c>
      <c r="D753" t="inlineStr">
        <is>
          <t>Reports/RetailBanking/XBRL/XBRL_SignatoryPopUp.aspx</t>
        </is>
      </c>
      <c r="E753" t="inlineStr">
        <is>
          <t>Report</t>
        </is>
      </c>
      <c r="F753" s="25">
        <f>VLOOKUP(E753,Assumptions!$A$5:$B$8,2,0)</f>
        <v/>
      </c>
    </row>
    <row r="754">
      <c r="A754" t="inlineStr">
        <is>
          <t>Reports</t>
        </is>
      </c>
      <c r="B754" t="inlineStr">
        <is>
          <t>RetailBanking</t>
        </is>
      </c>
      <c r="C754" t="inlineStr">
        <is>
          <t>rp_XBRL_AccountCategoryMapping.aspx</t>
        </is>
      </c>
      <c r="D754" t="inlineStr">
        <is>
          <t>Reports/RetailBanking/XBRL/rp_XBRL_AccountCategoryMapping.aspx</t>
        </is>
      </c>
      <c r="E754" t="inlineStr">
        <is>
          <t>Report</t>
        </is>
      </c>
      <c r="F754" s="25">
        <f>VLOOKUP(E754,Assumptions!$A$5:$B$8,2,0)</f>
        <v/>
      </c>
    </row>
    <row r="755">
      <c r="A755" t="inlineStr">
        <is>
          <t>Reports</t>
        </is>
      </c>
      <c r="B755" t="inlineStr">
        <is>
          <t>RetailBanking</t>
        </is>
      </c>
      <c r="C755" t="inlineStr">
        <is>
          <t>b_AccStatementPrintDialog.aspx</t>
        </is>
      </c>
      <c r="D755" t="inlineStr">
        <is>
          <t>Reports/RetailBanking/b_AccStatementPrintDialog.aspx</t>
        </is>
      </c>
      <c r="E755" t="inlineStr">
        <is>
          <t>Report</t>
        </is>
      </c>
      <c r="F755" s="25">
        <f>VLOOKUP(E755,Assumptions!$A$5:$B$8,2,0)</f>
        <v/>
      </c>
    </row>
    <row r="756">
      <c r="A756" t="inlineStr">
        <is>
          <t>Reports</t>
        </is>
      </c>
      <c r="B756" t="inlineStr">
        <is>
          <t>RetailBanking</t>
        </is>
      </c>
      <c r="C756" t="inlineStr">
        <is>
          <t>b_BankVariableDet.aspx</t>
        </is>
      </c>
      <c r="D756" t="inlineStr">
        <is>
          <t>Reports/RetailBanking/b_BankVariableDet.aspx</t>
        </is>
      </c>
      <c r="E756" t="inlineStr">
        <is>
          <t>Report</t>
        </is>
      </c>
      <c r="F756" s="25">
        <f>VLOOKUP(E756,Assumptions!$A$5:$B$8,2,0)</f>
        <v/>
      </c>
    </row>
    <row r="757">
      <c r="A757" t="inlineStr">
        <is>
          <t>Reports</t>
        </is>
      </c>
      <c r="B757" t="inlineStr">
        <is>
          <t>RetailBanking</t>
        </is>
      </c>
      <c r="C757" t="inlineStr">
        <is>
          <t>c_LoanAbstractReport.aspx</t>
        </is>
      </c>
      <c r="D757" t="inlineStr">
        <is>
          <t>Reports/RetailBanking/c_LoanAbstractReport.aspx</t>
        </is>
      </c>
      <c r="E757" t="inlineStr">
        <is>
          <t>Report</t>
        </is>
      </c>
      <c r="F757" s="25">
        <f>VLOOKUP(E757,Assumptions!$A$5:$B$8,2,0)</f>
        <v/>
      </c>
    </row>
    <row r="758">
      <c r="A758" t="inlineStr">
        <is>
          <t>Reports</t>
        </is>
      </c>
      <c r="B758" t="inlineStr">
        <is>
          <t>RetailBanking</t>
        </is>
      </c>
      <c r="C758" t="inlineStr">
        <is>
          <t>LoanOverdueReportSettings.aspx</t>
        </is>
      </c>
      <c r="D758" t="inlineStr">
        <is>
          <t>Reports/RetailBanking/loan/LoanOverdueReportSettings.aspx</t>
        </is>
      </c>
      <c r="E758" t="inlineStr">
        <is>
          <t>Report</t>
        </is>
      </c>
      <c r="F758" s="25">
        <f>VLOOKUP(E758,Assumptions!$A$5:$B$8,2,0)</f>
        <v/>
      </c>
    </row>
    <row r="759">
      <c r="A759" t="inlineStr">
        <is>
          <t>Reports</t>
        </is>
      </c>
      <c r="B759" t="inlineStr">
        <is>
          <t>RetailBanking</t>
        </is>
      </c>
      <c r="C759" t="inlineStr">
        <is>
          <t>LoanRecoveryReport.aspx</t>
        </is>
      </c>
      <c r="D759" t="inlineStr">
        <is>
          <t>Reports/RetailBanking/loan/LoanRecoveryReport.aspx</t>
        </is>
      </c>
      <c r="E759" t="inlineStr">
        <is>
          <t>Report</t>
        </is>
      </c>
      <c r="F759" s="25">
        <f>VLOOKUP(E759,Assumptions!$A$5:$B$8,2,0)</f>
        <v/>
      </c>
    </row>
    <row r="760">
      <c r="A760" t="inlineStr">
        <is>
          <t>Reports</t>
        </is>
      </c>
      <c r="B760" t="inlineStr">
        <is>
          <t>RetailBanking</t>
        </is>
      </c>
      <c r="C760" t="inlineStr">
        <is>
          <t>LoanReportSettings.aspx</t>
        </is>
      </c>
      <c r="D760" t="inlineStr">
        <is>
          <t>Reports/RetailBanking/loan/LoanReportSettings.aspx</t>
        </is>
      </c>
      <c r="E760" t="inlineStr">
        <is>
          <t>Report</t>
        </is>
      </c>
      <c r="F760" s="25">
        <f>VLOOKUP(E760,Assumptions!$A$5:$B$8,2,0)</f>
        <v/>
      </c>
    </row>
    <row r="761">
      <c r="A761" t="inlineStr">
        <is>
          <t>Reports</t>
        </is>
      </c>
      <c r="B761" t="inlineStr">
        <is>
          <t>RetailBanking</t>
        </is>
      </c>
      <c r="C761" t="inlineStr">
        <is>
          <t>StmtOfDemandCol.aspx</t>
        </is>
      </c>
      <c r="D761" t="inlineStr">
        <is>
          <t>Reports/RetailBanking/loan/StmtOfDemandCol.aspx</t>
        </is>
      </c>
      <c r="E761" t="inlineStr">
        <is>
          <t>Report</t>
        </is>
      </c>
      <c r="F761" s="25">
        <f>VLOOKUP(E761,Assumptions!$A$5:$B$8,2,0)</f>
        <v/>
      </c>
    </row>
    <row r="762">
      <c r="A762" t="inlineStr">
        <is>
          <t>Reports</t>
        </is>
      </c>
      <c r="B762" t="inlineStr">
        <is>
          <t>RetailBanking</t>
        </is>
      </c>
      <c r="C762" t="inlineStr">
        <is>
          <t>user_worksheet_report_option.aspx</t>
        </is>
      </c>
      <c r="D762" t="inlineStr">
        <is>
          <t>Reports/RetailBanking/user_worksheet/user_worksheet_report_option.aspx</t>
        </is>
      </c>
      <c r="E762" t="inlineStr">
        <is>
          <t>Report</t>
        </is>
      </c>
      <c r="F762" s="25">
        <f>VLOOKUP(E762,Assumptions!$A$5:$B$8,2,0)</f>
        <v/>
      </c>
    </row>
    <row r="763">
      <c r="A763" t="inlineStr">
        <is>
          <t>Reports</t>
        </is>
      </c>
      <c r="B763" t="inlineStr">
        <is>
          <t>RetailBanking</t>
        </is>
      </c>
      <c r="C763" t="inlineStr">
        <is>
          <t>x_LoanSettlementCalc.aspx</t>
        </is>
      </c>
      <c r="D763" t="inlineStr">
        <is>
          <t>Reports/RetailBanking/x_LoanSettlementCalc.aspx</t>
        </is>
      </c>
      <c r="E763" t="inlineStr">
        <is>
          <t>Report</t>
        </is>
      </c>
      <c r="F763" s="25">
        <f>VLOOKUP(E763,Assumptions!$A$5:$B$8,2,0)</f>
        <v/>
      </c>
    </row>
    <row r="764">
      <c r="A764" t="inlineStr">
        <is>
          <t>Reports</t>
        </is>
      </c>
      <c r="B764" t="inlineStr">
        <is>
          <t>RetailBanking</t>
        </is>
      </c>
      <c r="C764" t="inlineStr">
        <is>
          <t>x_PurposeLnAccList.aspx</t>
        </is>
      </c>
      <c r="D764" t="inlineStr">
        <is>
          <t>Reports/RetailBanking/x_PurposeLnAccList.aspx</t>
        </is>
      </c>
      <c r="E764" t="inlineStr">
        <is>
          <t>Report</t>
        </is>
      </c>
      <c r="F764" s="25">
        <f>VLOOKUP(E764,Assumptions!$A$5:$B$8,2,0)</f>
        <v/>
      </c>
    </row>
    <row r="765">
      <c r="A765" t="inlineStr">
        <is>
          <t>Reports</t>
        </is>
      </c>
      <c r="B765" t="inlineStr">
        <is>
          <t>RetailBanking</t>
        </is>
      </c>
      <c r="C765" t="inlineStr">
        <is>
          <t>x_UserDefinedDormantLetter.aspx</t>
        </is>
      </c>
      <c r="D765" t="inlineStr">
        <is>
          <t>Reports/RetailBanking/x_UserDefinedDormantLetter.aspx</t>
        </is>
      </c>
      <c r="E765" t="inlineStr">
        <is>
          <t>Report</t>
        </is>
      </c>
      <c r="F765" s="25">
        <f>VLOOKUP(E765,Assumptions!$A$5:$B$8,2,0)</f>
        <v/>
      </c>
    </row>
    <row r="766">
      <c r="A766" t="inlineStr">
        <is>
          <t>Reports</t>
        </is>
      </c>
      <c r="B766" t="inlineStr">
        <is>
          <t>RetailBanking</t>
        </is>
      </c>
      <c r="C766" t="inlineStr">
        <is>
          <t>x_UserDefinedNoTranLetter.aspx</t>
        </is>
      </c>
      <c r="D766" t="inlineStr">
        <is>
          <t>Reports/RetailBanking/x_UserDefinedNoTranLetter.aspx</t>
        </is>
      </c>
      <c r="E766" t="inlineStr">
        <is>
          <t>Report</t>
        </is>
      </c>
      <c r="F766" s="25">
        <f>VLOOKUP(E766,Assumptions!$A$5:$B$8,2,0)</f>
        <v/>
      </c>
    </row>
    <row r="767">
      <c r="A767" t="inlineStr">
        <is>
          <t>Reports</t>
        </is>
      </c>
      <c r="B767" t="inlineStr">
        <is>
          <t>SHGReport</t>
        </is>
      </c>
      <c r="C767" t="inlineStr">
        <is>
          <t>SHGReport.aspx</t>
        </is>
      </c>
      <c r="D767" t="inlineStr">
        <is>
          <t>Reports/SHGReport/SHGReport.aspx</t>
        </is>
      </c>
      <c r="E767" t="inlineStr">
        <is>
          <t>Report</t>
        </is>
      </c>
      <c r="F767" s="25">
        <f>VLOOKUP(E767,Assumptions!$A$5:$B$8,2,0)</f>
        <v/>
      </c>
    </row>
    <row r="768">
      <c r="A768" t="inlineStr">
        <is>
          <t>RetailBanking</t>
        </is>
      </c>
      <c r="B768" t="inlineStr">
        <is>
          <t>ATM</t>
        </is>
      </c>
      <c r="C768" t="inlineStr">
        <is>
          <t>AtmCardViewer.aspx</t>
        </is>
      </c>
      <c r="D768" t="inlineStr">
        <is>
          <t>RetailBanking/ATM/AtmCardViewer.aspx</t>
        </is>
      </c>
      <c r="E768" t="inlineStr">
        <is>
          <t>Medium</t>
        </is>
      </c>
      <c r="F768" s="25">
        <f>VLOOKUP(E768,Assumptions!$A$5:$B$8,2,0)</f>
        <v/>
      </c>
    </row>
    <row r="769">
      <c r="A769" t="inlineStr">
        <is>
          <t>RetailBanking</t>
        </is>
      </c>
      <c r="B769" t="inlineStr">
        <is>
          <t>ATM</t>
        </is>
      </c>
      <c r="C769" t="inlineStr">
        <is>
          <t>AtmFinacusDataExport.aspx</t>
        </is>
      </c>
      <c r="D769" t="inlineStr">
        <is>
          <t>RetailBanking/ATM/AtmFinacusDataExport.aspx</t>
        </is>
      </c>
      <c r="E769" t="inlineStr">
        <is>
          <t>Medium</t>
        </is>
      </c>
      <c r="F769" s="25">
        <f>VLOOKUP(E769,Assumptions!$A$5:$B$8,2,0)</f>
        <v/>
      </c>
    </row>
    <row r="770">
      <c r="A770" t="inlineStr">
        <is>
          <t>RetailBanking</t>
        </is>
      </c>
      <c r="B770" t="inlineStr">
        <is>
          <t>ATM</t>
        </is>
      </c>
      <c r="C770" t="inlineStr">
        <is>
          <t>BbpsTranReport.aspx</t>
        </is>
      </c>
      <c r="D770" t="inlineStr">
        <is>
          <t>RetailBanking/ATM/BbpsTranReport.aspx</t>
        </is>
      </c>
      <c r="E770" t="inlineStr">
        <is>
          <t>Report</t>
        </is>
      </c>
      <c r="F770" s="25">
        <f>VLOOKUP(E770,Assumptions!$A$5:$B$8,2,0)</f>
        <v/>
      </c>
    </row>
    <row r="771">
      <c r="A771" t="inlineStr">
        <is>
          <t>RetailBanking</t>
        </is>
      </c>
      <c r="B771" t="inlineStr">
        <is>
          <t>ATM</t>
        </is>
      </c>
      <c r="C771" t="inlineStr">
        <is>
          <t>RrnInfo.aspx</t>
        </is>
      </c>
      <c r="D771" t="inlineStr">
        <is>
          <t>RetailBanking/ATM/RrnInfo.aspx</t>
        </is>
      </c>
      <c r="E771" t="inlineStr">
        <is>
          <t>Medium</t>
        </is>
      </c>
      <c r="F771" s="25">
        <f>VLOOKUP(E771,Assumptions!$A$5:$B$8,2,0)</f>
        <v/>
      </c>
    </row>
    <row r="772">
      <c r="A772" t="inlineStr">
        <is>
          <t>RetailBanking</t>
        </is>
      </c>
      <c r="B772" t="inlineStr">
        <is>
          <t>ATM</t>
        </is>
      </c>
      <c r="C772" t="inlineStr">
        <is>
          <t>aeps_recon_reports.aspx</t>
        </is>
      </c>
      <c r="D772" t="inlineStr">
        <is>
          <t>RetailBanking/ATM/aeps_recon_reports.aspx</t>
        </is>
      </c>
      <c r="E772" t="inlineStr">
        <is>
          <t>Report</t>
        </is>
      </c>
      <c r="F772" s="25">
        <f>VLOOKUP(E772,Assumptions!$A$5:$B$8,2,0)</f>
        <v/>
      </c>
    </row>
    <row r="773">
      <c r="A773" t="inlineStr">
        <is>
          <t>RetailBanking</t>
        </is>
      </c>
      <c r="B773" t="inlineStr">
        <is>
          <t>ATM</t>
        </is>
      </c>
      <c r="C773" t="inlineStr">
        <is>
          <t>atm_cbr_BranchTerminal_Report.aspx</t>
        </is>
      </c>
      <c r="D773" t="inlineStr">
        <is>
          <t>RetailBanking/ATM/atm_cbr_BranchTerminal_Report.aspx</t>
        </is>
      </c>
      <c r="E773" t="inlineStr">
        <is>
          <t>Report</t>
        </is>
      </c>
      <c r="F773" s="25">
        <f>VLOOKUP(E773,Assumptions!$A$5:$B$8,2,0)</f>
        <v/>
      </c>
    </row>
    <row r="774">
      <c r="A774" t="inlineStr">
        <is>
          <t>RetailBanking</t>
        </is>
      </c>
      <c r="B774" t="inlineStr">
        <is>
          <t>ATM</t>
        </is>
      </c>
      <c r="C774" t="inlineStr">
        <is>
          <t>atm_euronet_Offus_reports.aspx</t>
        </is>
      </c>
      <c r="D774" t="inlineStr">
        <is>
          <t>RetailBanking/ATM/atm_euronet_Offus_reports.aspx</t>
        </is>
      </c>
      <c r="E774" t="inlineStr">
        <is>
          <t>Report</t>
        </is>
      </c>
      <c r="F774" s="25">
        <f>VLOOKUP(E774,Assumptions!$A$5:$B$8,2,0)</f>
        <v/>
      </c>
    </row>
    <row r="775">
      <c r="A775" t="inlineStr">
        <is>
          <t>RetailBanking</t>
        </is>
      </c>
      <c r="B775" t="inlineStr">
        <is>
          <t>ATM</t>
        </is>
      </c>
      <c r="C775" t="inlineStr">
        <is>
          <t>atm_euronet_Onus_Offus_reports.aspx</t>
        </is>
      </c>
      <c r="D775" t="inlineStr">
        <is>
          <t>RetailBanking/ATM/atm_euronet_Onus_Offus_reports.aspx</t>
        </is>
      </c>
      <c r="E775" t="inlineStr">
        <is>
          <t>Report</t>
        </is>
      </c>
      <c r="F775" s="25">
        <f>VLOOKUP(E775,Assumptions!$A$5:$B$8,2,0)</f>
        <v/>
      </c>
    </row>
    <row r="776">
      <c r="A776" t="inlineStr">
        <is>
          <t>RetailBanking</t>
        </is>
      </c>
      <c r="B776" t="inlineStr">
        <is>
          <t>ATM</t>
        </is>
      </c>
      <c r="C776" t="inlineStr">
        <is>
          <t>atm_euronet_reports.aspx</t>
        </is>
      </c>
      <c r="D776" t="inlineStr">
        <is>
          <t>RetailBanking/ATM/atm_euronet_reports.aspx</t>
        </is>
      </c>
      <c r="E776" t="inlineStr">
        <is>
          <t>Report</t>
        </is>
      </c>
      <c r="F776" s="25">
        <f>VLOOKUP(E776,Assumptions!$A$5:$B$8,2,0)</f>
        <v/>
      </c>
    </row>
    <row r="777">
      <c r="A777" t="inlineStr">
        <is>
          <t>RetailBanking</t>
        </is>
      </c>
      <c r="B777" t="inlineStr">
        <is>
          <t>ATM</t>
        </is>
      </c>
      <c r="C777" t="inlineStr">
        <is>
          <t>atm_recon_ags_format_report.aspx</t>
        </is>
      </c>
      <c r="D777" t="inlineStr">
        <is>
          <t>RetailBanking/ATM/atm_recon_ags_format_report.aspx</t>
        </is>
      </c>
      <c r="E777" t="inlineStr">
        <is>
          <t>Report</t>
        </is>
      </c>
      <c r="F777" s="25">
        <f>VLOOKUP(E777,Assumptions!$A$5:$B$8,2,0)</f>
        <v/>
      </c>
    </row>
    <row r="778">
      <c r="A778" t="inlineStr">
        <is>
          <t>RetailBanking</t>
        </is>
      </c>
      <c r="B778" t="inlineStr">
        <is>
          <t>ATM</t>
        </is>
      </c>
      <c r="C778" t="inlineStr">
        <is>
          <t>atm_reports.aspx</t>
        </is>
      </c>
      <c r="D778" t="inlineStr">
        <is>
          <t>RetailBanking/ATM/atm_reports.aspx</t>
        </is>
      </c>
      <c r="E778" t="inlineStr">
        <is>
          <t>Report</t>
        </is>
      </c>
      <c r="F778" s="25">
        <f>VLOOKUP(E778,Assumptions!$A$5:$B$8,2,0)</f>
        <v/>
      </c>
    </row>
    <row r="779">
      <c r="A779" t="inlineStr">
        <is>
          <t>RetailBanking</t>
        </is>
      </c>
      <c r="B779" t="inlineStr">
        <is>
          <t>ATM</t>
        </is>
      </c>
      <c r="C779" t="inlineStr">
        <is>
          <t>b_CardInfo.aspx</t>
        </is>
      </c>
      <c r="D779" t="inlineStr">
        <is>
          <t>RetailBanking/ATM/b_CardInfo.aspx</t>
        </is>
      </c>
      <c r="E779" t="inlineStr">
        <is>
          <t>Medium</t>
        </is>
      </c>
      <c r="F779" s="25">
        <f>VLOOKUP(E779,Assumptions!$A$5:$B$8,2,0)</f>
        <v/>
      </c>
    </row>
    <row r="780">
      <c r="A780" t="inlineStr">
        <is>
          <t>RetailBanking</t>
        </is>
      </c>
      <c r="B780" t="inlineStr">
        <is>
          <t>ATM</t>
        </is>
      </c>
      <c r="C780" t="inlineStr">
        <is>
          <t>b_UrbanInstaCardInfo.aspx</t>
        </is>
      </c>
      <c r="D780" t="inlineStr">
        <is>
          <t>RetailBanking/ATM/b_UrbanInstaCardInfo.aspx</t>
        </is>
      </c>
      <c r="E780" t="inlineStr">
        <is>
          <t>Medium</t>
        </is>
      </c>
      <c r="F780" s="25">
        <f>VLOOKUP(E780,Assumptions!$A$5:$B$8,2,0)</f>
        <v/>
      </c>
    </row>
    <row r="781">
      <c r="A781" t="inlineStr">
        <is>
          <t>RetailBanking</t>
        </is>
      </c>
      <c r="B781" t="inlineStr">
        <is>
          <t>ATM</t>
        </is>
      </c>
      <c r="C781" t="inlineStr">
        <is>
          <t>en_InstaExport_cif.aspx</t>
        </is>
      </c>
      <c r="D781" t="inlineStr">
        <is>
          <t>RetailBanking/ATM/en_InstaExport_cif.aspx</t>
        </is>
      </c>
      <c r="E781" t="inlineStr">
        <is>
          <t>Medium</t>
        </is>
      </c>
      <c r="F781" s="25">
        <f>VLOOKUP(E781,Assumptions!$A$5:$B$8,2,0)</f>
        <v/>
      </c>
    </row>
    <row r="782">
      <c r="A782" t="inlineStr">
        <is>
          <t>RetailBanking</t>
        </is>
      </c>
      <c r="B782" t="inlineStr">
        <is>
          <t>ATM</t>
        </is>
      </c>
      <c r="C782" t="inlineStr">
        <is>
          <t>en_export_cif.aspx</t>
        </is>
      </c>
      <c r="D782" t="inlineStr">
        <is>
          <t>RetailBanking/ATM/en_export_cif.aspx</t>
        </is>
      </c>
      <c r="E782" t="inlineStr">
        <is>
          <t>Medium</t>
        </is>
      </c>
      <c r="F782" s="25">
        <f>VLOOKUP(E782,Assumptions!$A$5:$B$8,2,0)</f>
        <v/>
      </c>
    </row>
    <row r="783">
      <c r="A783" t="inlineStr">
        <is>
          <t>RetailBanking</t>
        </is>
      </c>
      <c r="B783" t="inlineStr">
        <is>
          <t>ATM</t>
        </is>
      </c>
      <c r="C783" t="inlineStr">
        <is>
          <t>finaccus_recon_reports.aspx</t>
        </is>
      </c>
      <c r="D783" t="inlineStr">
        <is>
          <t>RetailBanking/ATM/finaccus_recon_reports.aspx</t>
        </is>
      </c>
      <c r="E783" t="inlineStr">
        <is>
          <t>Report</t>
        </is>
      </c>
      <c r="F783" s="25">
        <f>VLOOKUP(E783,Assumptions!$A$5:$B$8,2,0)</f>
        <v/>
      </c>
    </row>
    <row r="784">
      <c r="A784" t="inlineStr">
        <is>
          <t>RetailBanking</t>
        </is>
      </c>
      <c r="B784" t="inlineStr">
        <is>
          <t>ATM</t>
        </is>
      </c>
      <c r="C784" t="inlineStr">
        <is>
          <t>upi_recon_reports.aspx</t>
        </is>
      </c>
      <c r="D784" t="inlineStr">
        <is>
          <t>RetailBanking/ATM/upi_recon_reports.aspx</t>
        </is>
      </c>
      <c r="E784" t="inlineStr">
        <is>
          <t>Report</t>
        </is>
      </c>
      <c r="F784" s="25">
        <f>VLOOKUP(E784,Assumptions!$A$5:$B$8,2,0)</f>
        <v/>
      </c>
    </row>
    <row r="785">
      <c r="A785" t="inlineStr">
        <is>
          <t>RetailBanking</t>
        </is>
      </c>
      <c r="B785" t="inlineStr">
        <is>
          <t>Account</t>
        </is>
      </c>
      <c r="C785" t="inlineStr">
        <is>
          <t>AgriLTMTLoan.aspx</t>
        </is>
      </c>
      <c r="D785" t="inlineStr">
        <is>
          <t>RetailBanking/Account/AgriLTMTLoan.aspx</t>
        </is>
      </c>
      <c r="E785" t="inlineStr">
        <is>
          <t>Medium</t>
        </is>
      </c>
      <c r="F785" s="25">
        <f>VLOOKUP(E785,Assumptions!$A$5:$B$8,2,0)</f>
        <v/>
      </c>
    </row>
    <row r="786">
      <c r="A786" t="inlineStr">
        <is>
          <t>RetailBanking</t>
        </is>
      </c>
      <c r="B786" t="inlineStr">
        <is>
          <t>Account</t>
        </is>
      </c>
      <c r="C786" t="inlineStr">
        <is>
          <t>AlertMessages.aspx</t>
        </is>
      </c>
      <c r="D786" t="inlineStr">
        <is>
          <t>RetailBanking/Account/AlertMessages.aspx</t>
        </is>
      </c>
      <c r="E786" t="inlineStr">
        <is>
          <t>Medium</t>
        </is>
      </c>
      <c r="F786" s="25">
        <f>VLOOKUP(E786,Assumptions!$A$5:$B$8,2,0)</f>
        <v/>
      </c>
    </row>
    <row r="787">
      <c r="A787" t="inlineStr">
        <is>
          <t>RetailBanking</t>
        </is>
      </c>
      <c r="B787" t="inlineStr">
        <is>
          <t>Account</t>
        </is>
      </c>
      <c r="C787" t="inlineStr">
        <is>
          <t>AmortChartUpload.aspx</t>
        </is>
      </c>
      <c r="D787" t="inlineStr">
        <is>
          <t>RetailBanking/Account/AmortChartUpload.aspx</t>
        </is>
      </c>
      <c r="E787" t="inlineStr">
        <is>
          <t>Medium</t>
        </is>
      </c>
      <c r="F787" s="25">
        <f>VLOOKUP(E787,Assumptions!$A$5:$B$8,2,0)</f>
        <v/>
      </c>
    </row>
    <row r="788">
      <c r="A788" t="inlineStr">
        <is>
          <t>RetailBanking</t>
        </is>
      </c>
      <c r="B788" t="inlineStr">
        <is>
          <t>Account</t>
        </is>
      </c>
      <c r="C788" t="inlineStr">
        <is>
          <t>BOOK_DEBTS.aspx</t>
        </is>
      </c>
      <c r="D788" t="inlineStr">
        <is>
          <t>RetailBanking/Account/BOOK_DEBTS.aspx</t>
        </is>
      </c>
      <c r="E788" t="inlineStr">
        <is>
          <t>Medium</t>
        </is>
      </c>
      <c r="F788" s="25">
        <f>VLOOKUP(E788,Assumptions!$A$5:$B$8,2,0)</f>
        <v/>
      </c>
    </row>
    <row r="789">
      <c r="A789" t="inlineStr">
        <is>
          <t>RetailBanking</t>
        </is>
      </c>
      <c r="B789" t="inlineStr">
        <is>
          <t>Account</t>
        </is>
      </c>
      <c r="C789" t="inlineStr">
        <is>
          <t>CCODRenewal.aspx</t>
        </is>
      </c>
      <c r="D789" t="inlineStr">
        <is>
          <t>RetailBanking/Account/CCODRenewal.aspx</t>
        </is>
      </c>
      <c r="E789" t="inlineStr">
        <is>
          <t>Medium</t>
        </is>
      </c>
      <c r="F789" s="25">
        <f>VLOOKUP(E789,Assumptions!$A$5:$B$8,2,0)</f>
        <v/>
      </c>
    </row>
    <row r="790">
      <c r="A790" t="inlineStr">
        <is>
          <t>RetailBanking</t>
        </is>
      </c>
      <c r="B790" t="inlineStr">
        <is>
          <t>Account</t>
        </is>
      </c>
      <c r="C790" t="inlineStr">
        <is>
          <t>CCODRenewalMulti.aspx</t>
        </is>
      </c>
      <c r="D790" t="inlineStr">
        <is>
          <t>RetailBanking/Account/CCODRenewalMulti.aspx</t>
        </is>
      </c>
      <c r="E790" t="inlineStr">
        <is>
          <t>Medium</t>
        </is>
      </c>
      <c r="F790" s="25">
        <f>VLOOKUP(E790,Assumptions!$A$5:$B$8,2,0)</f>
        <v/>
      </c>
    </row>
    <row r="791">
      <c r="A791" t="inlineStr">
        <is>
          <t>RetailBanking</t>
        </is>
      </c>
      <c r="B791" t="inlineStr">
        <is>
          <t>Account</t>
        </is>
      </c>
      <c r="C791" t="inlineStr">
        <is>
          <t>C_LoanActualPurpose.aspx</t>
        </is>
      </c>
      <c r="D791" t="inlineStr">
        <is>
          <t>RetailBanking/Account/C_LoanActualPurpose.aspx</t>
        </is>
      </c>
      <c r="E791" t="inlineStr">
        <is>
          <t>Medium</t>
        </is>
      </c>
      <c r="F791" s="25">
        <f>VLOOKUP(E791,Assumptions!$A$5:$B$8,2,0)</f>
        <v/>
      </c>
    </row>
    <row r="792">
      <c r="A792" t="inlineStr">
        <is>
          <t>RetailBanking</t>
        </is>
      </c>
      <c r="B792" t="inlineStr">
        <is>
          <t>Account</t>
        </is>
      </c>
      <c r="C792" t="inlineStr">
        <is>
          <t>DailyDepositAgentAccount.aspx</t>
        </is>
      </c>
      <c r="D792" t="inlineStr">
        <is>
          <t>RetailBanking/Account/DailyDepositAgentAccount.aspx</t>
        </is>
      </c>
      <c r="E792" t="inlineStr">
        <is>
          <t>Medium</t>
        </is>
      </c>
      <c r="F792" s="25">
        <f>VLOOKUP(E792,Assumptions!$A$5:$B$8,2,0)</f>
        <v/>
      </c>
    </row>
    <row r="793">
      <c r="A793" t="inlineStr">
        <is>
          <t>RetailBanking</t>
        </is>
      </c>
      <c r="B793" t="inlineStr">
        <is>
          <t>Account</t>
        </is>
      </c>
      <c r="C793" t="inlineStr">
        <is>
          <t>DisbScheduleUpdate.aspx</t>
        </is>
      </c>
      <c r="D793" t="inlineStr">
        <is>
          <t>RetailBanking/Account/DisbScheduleUpdate.aspx</t>
        </is>
      </c>
      <c r="E793" t="inlineStr">
        <is>
          <t>Medium</t>
        </is>
      </c>
      <c r="F793" s="25">
        <f>VLOOKUP(E793,Assumptions!$A$5:$B$8,2,0)</f>
        <v/>
      </c>
    </row>
    <row r="794">
      <c r="A794" t="inlineStr">
        <is>
          <t>RetailBanking</t>
        </is>
      </c>
      <c r="B794" t="inlineStr">
        <is>
          <t>Account</t>
        </is>
      </c>
      <c r="C794" t="inlineStr">
        <is>
          <t>EMIReadyRecknor.aspx</t>
        </is>
      </c>
      <c r="D794" t="inlineStr">
        <is>
          <t>RetailBanking/Account/EMIReadyRecknor.aspx</t>
        </is>
      </c>
      <c r="E794" t="inlineStr">
        <is>
          <t>Medium</t>
        </is>
      </c>
      <c r="F794" s="25">
        <f>VLOOKUP(E794,Assumptions!$A$5:$B$8,2,0)</f>
        <v/>
      </c>
    </row>
    <row r="795">
      <c r="A795" t="inlineStr">
        <is>
          <t>RetailBanking</t>
        </is>
      </c>
      <c r="B795" t="inlineStr">
        <is>
          <t>Account</t>
        </is>
      </c>
      <c r="C795" t="inlineStr">
        <is>
          <t>GOVERNMENT_SUPPLY_BILLS.aspx</t>
        </is>
      </c>
      <c r="D795" t="inlineStr">
        <is>
          <t>RetailBanking/Account/GOVERNMENT_SUPPLY_BILLS.aspx</t>
        </is>
      </c>
      <c r="E795" t="inlineStr">
        <is>
          <t>Medium</t>
        </is>
      </c>
      <c r="F795" s="25">
        <f>VLOOKUP(E795,Assumptions!$A$5:$B$8,2,0)</f>
        <v/>
      </c>
    </row>
    <row r="796">
      <c r="A796" t="inlineStr">
        <is>
          <t>RetailBanking</t>
        </is>
      </c>
      <c r="B796" t="inlineStr">
        <is>
          <t>Account</t>
        </is>
      </c>
      <c r="C796" t="inlineStr">
        <is>
          <t>GovSecProvisionAccount.aspx</t>
        </is>
      </c>
      <c r="D796" t="inlineStr">
        <is>
          <t>RetailBanking/Account/GovSecProvisionAccount.aspx</t>
        </is>
      </c>
      <c r="E796" t="inlineStr">
        <is>
          <t>Medium</t>
        </is>
      </c>
      <c r="F796" s="25">
        <f>VLOOKUP(E796,Assumptions!$A$5:$B$8,2,0)</f>
        <v/>
      </c>
    </row>
    <row r="797">
      <c r="A797" t="inlineStr">
        <is>
          <t>RetailBanking</t>
        </is>
      </c>
      <c r="B797" t="inlineStr">
        <is>
          <t>Account</t>
        </is>
      </c>
      <c r="C797" t="inlineStr">
        <is>
          <t>Machinaryequipment.aspx</t>
        </is>
      </c>
      <c r="D797" t="inlineStr">
        <is>
          <t>RetailBanking/Account/Machinaryequipment.aspx</t>
        </is>
      </c>
      <c r="E797" t="inlineStr">
        <is>
          <t>Medium</t>
        </is>
      </c>
      <c r="F797" s="25">
        <f>VLOOKUP(E797,Assumptions!$A$5:$B$8,2,0)</f>
        <v/>
      </c>
    </row>
    <row r="798">
      <c r="A798" t="inlineStr">
        <is>
          <t>RetailBanking</t>
        </is>
      </c>
      <c r="B798" t="inlineStr">
        <is>
          <t>Account</t>
        </is>
      </c>
      <c r="C798" t="inlineStr">
        <is>
          <t>ModificationLog.aspx</t>
        </is>
      </c>
      <c r="D798" t="inlineStr">
        <is>
          <t>RetailBanking/Account/ModificationLog.aspx</t>
        </is>
      </c>
      <c r="E798" t="inlineStr">
        <is>
          <t>Medium</t>
        </is>
      </c>
      <c r="F798" s="25">
        <f>VLOOKUP(E798,Assumptions!$A$5:$B$8,2,0)</f>
        <v/>
      </c>
    </row>
    <row r="799">
      <c r="A799" t="inlineStr">
        <is>
          <t>RetailBanking</t>
        </is>
      </c>
      <c r="B799" t="inlineStr">
        <is>
          <t>Account</t>
        </is>
      </c>
      <c r="C799" t="inlineStr">
        <is>
          <t>SHARES_OF_JOINT_STOCK_COMPANY.aspx</t>
        </is>
      </c>
      <c r="D799" t="inlineStr">
        <is>
          <t>RetailBanking/Account/SHARES_OF_JOINT_STOCK_COMPANY.aspx</t>
        </is>
      </c>
      <c r="E799" t="inlineStr">
        <is>
          <t>Medium</t>
        </is>
      </c>
      <c r="F799" s="25">
        <f>VLOOKUP(E799,Assumptions!$A$5:$B$8,2,0)</f>
        <v/>
      </c>
    </row>
    <row r="800">
      <c r="A800" t="inlineStr">
        <is>
          <t>RetailBanking</t>
        </is>
      </c>
      <c r="B800" t="inlineStr">
        <is>
          <t>Account</t>
        </is>
      </c>
      <c r="C800" t="inlineStr">
        <is>
          <t>SecurityCommon.aspx</t>
        </is>
      </c>
      <c r="D800" t="inlineStr">
        <is>
          <t>RetailBanking/Account/SecurityCommon.aspx</t>
        </is>
      </c>
      <c r="E800" t="inlineStr">
        <is>
          <t>Medium</t>
        </is>
      </c>
      <c r="F800" s="25">
        <f>VLOOKUP(E800,Assumptions!$A$5:$B$8,2,0)</f>
        <v/>
      </c>
    </row>
    <row r="801">
      <c r="A801" t="inlineStr">
        <is>
          <t>RetailBanking</t>
        </is>
      </c>
      <c r="B801" t="inlineStr">
        <is>
          <t>Account</t>
        </is>
      </c>
      <c r="C801" t="inlineStr">
        <is>
          <t>SecurityInvestmentAccount.aspx</t>
        </is>
      </c>
      <c r="D801" t="inlineStr">
        <is>
          <t>RetailBanking/Account/SecurityInvestmentAccount.aspx</t>
        </is>
      </c>
      <c r="E801" t="inlineStr">
        <is>
          <t>Medium</t>
        </is>
      </c>
      <c r="F801" s="25">
        <f>VLOOKUP(E801,Assumptions!$A$5:$B$8,2,0)</f>
        <v/>
      </c>
    </row>
    <row r="802">
      <c r="A802" t="inlineStr">
        <is>
          <t>RetailBanking</t>
        </is>
      </c>
      <c r="B802" t="inlineStr">
        <is>
          <t>Account</t>
        </is>
      </c>
      <c r="C802" t="inlineStr">
        <is>
          <t>SecurityLogViewer.aspx</t>
        </is>
      </c>
      <c r="D802" t="inlineStr">
        <is>
          <t>RetailBanking/Account/SecurityLogViewer.aspx</t>
        </is>
      </c>
      <c r="E802" t="inlineStr">
        <is>
          <t>Medium</t>
        </is>
      </c>
      <c r="F802" s="25">
        <f>VLOOKUP(E802,Assumptions!$A$5:$B$8,2,0)</f>
        <v/>
      </c>
    </row>
    <row r="803">
      <c r="A803" t="inlineStr">
        <is>
          <t>RetailBanking</t>
        </is>
      </c>
      <c r="B803" t="inlineStr">
        <is>
          <t>Account</t>
        </is>
      </c>
      <c r="C803" t="inlineStr">
        <is>
          <t>SecurityViewer.aspx</t>
        </is>
      </c>
      <c r="D803" t="inlineStr">
        <is>
          <t>RetailBanking/Account/SecurityViewer.aspx</t>
        </is>
      </c>
      <c r="E803" t="inlineStr">
        <is>
          <t>Medium</t>
        </is>
      </c>
      <c r="F803" s="25">
        <f>VLOOKUP(E803,Assumptions!$A$5:$B$8,2,0)</f>
        <v/>
      </c>
    </row>
    <row r="804">
      <c r="A804" t="inlineStr">
        <is>
          <t>RetailBanking</t>
        </is>
      </c>
      <c r="B804" t="inlineStr">
        <is>
          <t>Account</t>
        </is>
      </c>
      <c r="C804" t="inlineStr">
        <is>
          <t>ShowYearlyIRSlab.aspx</t>
        </is>
      </c>
      <c r="D804" t="inlineStr">
        <is>
          <t>RetailBanking/Account/ShowYearlyIRSlab.aspx</t>
        </is>
      </c>
      <c r="E804" t="inlineStr">
        <is>
          <t>Medium</t>
        </is>
      </c>
      <c r="F804" s="25">
        <f>VLOOKUP(E804,Assumptions!$A$5:$B$8,2,0)</f>
        <v/>
      </c>
    </row>
    <row r="805">
      <c r="A805" t="inlineStr">
        <is>
          <t>RetailBanking</t>
        </is>
      </c>
      <c r="B805" t="inlineStr">
        <is>
          <t>Account</t>
        </is>
      </c>
      <c r="C805" t="inlineStr">
        <is>
          <t>WAREHOUSE_RECEIPTS.aspx</t>
        </is>
      </c>
      <c r="D805" t="inlineStr">
        <is>
          <t>RetailBanking/Account/WAREHOUSE_RECEIPTS.aspx</t>
        </is>
      </c>
      <c r="E805" t="inlineStr">
        <is>
          <t>Medium</t>
        </is>
      </c>
      <c r="F805" s="25">
        <f>VLOOKUP(E805,Assumptions!$A$5:$B$8,2,0)</f>
        <v/>
      </c>
    </row>
    <row r="806">
      <c r="A806" t="inlineStr">
        <is>
          <t>RetailBanking</t>
        </is>
      </c>
      <c r="B806" t="inlineStr">
        <is>
          <t>Account</t>
        </is>
      </c>
      <c r="C806" t="inlineStr">
        <is>
          <t>b_AccountEmployer.aspx</t>
        </is>
      </c>
      <c r="D806" t="inlineStr">
        <is>
          <t>RetailBanking/Account/b_AccountEmployer.aspx</t>
        </is>
      </c>
      <c r="E806" t="inlineStr">
        <is>
          <t>Medium</t>
        </is>
      </c>
      <c r="F806" s="25">
        <f>VLOOKUP(E806,Assumptions!$A$5:$B$8,2,0)</f>
        <v/>
      </c>
    </row>
    <row r="807">
      <c r="A807" t="inlineStr">
        <is>
          <t>RetailBanking</t>
        </is>
      </c>
      <c r="B807" t="inlineStr">
        <is>
          <t>Account</t>
        </is>
      </c>
      <c r="C807" t="inlineStr">
        <is>
          <t>b_AccountNumberMapping.aspx</t>
        </is>
      </c>
      <c r="D807" t="inlineStr">
        <is>
          <t>RetailBanking/Account/b_AccountNumberMapping.aspx</t>
        </is>
      </c>
      <c r="E807" t="inlineStr">
        <is>
          <t>Medium</t>
        </is>
      </c>
      <c r="F807" s="25">
        <f>VLOOKUP(E807,Assumptions!$A$5:$B$8,2,0)</f>
        <v/>
      </c>
    </row>
    <row r="808">
      <c r="A808" t="inlineStr">
        <is>
          <t>RetailBanking</t>
        </is>
      </c>
      <c r="B808" t="inlineStr">
        <is>
          <t>Account</t>
        </is>
      </c>
      <c r="C808" t="inlineStr">
        <is>
          <t>b_AccountTransfer.aspx</t>
        </is>
      </c>
      <c r="D808" t="inlineStr">
        <is>
          <t>RetailBanking/Account/b_AccountTransfer.aspx</t>
        </is>
      </c>
      <c r="E808" t="inlineStr">
        <is>
          <t>Medium</t>
        </is>
      </c>
      <c r="F808" s="25">
        <f>VLOOKUP(E808,Assumptions!$A$5:$B$8,2,0)</f>
        <v/>
      </c>
    </row>
    <row r="809">
      <c r="A809" t="inlineStr">
        <is>
          <t>RetailBanking</t>
        </is>
      </c>
      <c r="B809" t="inlineStr">
        <is>
          <t>Account</t>
        </is>
      </c>
      <c r="C809" t="inlineStr">
        <is>
          <t>b_OrnamentImage.aspx</t>
        </is>
      </c>
      <c r="D809" t="inlineStr">
        <is>
          <t>RetailBanking/Account/b_OrnamentImage.aspx</t>
        </is>
      </c>
      <c r="E809" t="inlineStr">
        <is>
          <t>Medium</t>
        </is>
      </c>
      <c r="F809" s="25">
        <f>VLOOKUP(E809,Assumptions!$A$5:$B$8,2,0)</f>
        <v/>
      </c>
    </row>
    <row r="810">
      <c r="A810" t="inlineStr">
        <is>
          <t>RetailBanking</t>
        </is>
      </c>
      <c r="B810" t="inlineStr">
        <is>
          <t>Account</t>
        </is>
      </c>
      <c r="C810" t="inlineStr">
        <is>
          <t>b_PigmyClientTransferHistory.aspx</t>
        </is>
      </c>
      <c r="D810" t="inlineStr">
        <is>
          <t>RetailBanking/Account/b_PigmyClientTransferHistory.aspx</t>
        </is>
      </c>
      <c r="E810" t="inlineStr">
        <is>
          <t>Medium</t>
        </is>
      </c>
      <c r="F810" s="25">
        <f>VLOOKUP(E810,Assumptions!$A$5:$B$8,2,0)</f>
        <v/>
      </c>
    </row>
    <row r="811">
      <c r="A811" t="inlineStr">
        <is>
          <t>RetailBanking</t>
        </is>
      </c>
      <c r="B811" t="inlineStr">
        <is>
          <t>Account</t>
        </is>
      </c>
      <c r="C811" t="inlineStr">
        <is>
          <t>b_SchemeChange.aspx</t>
        </is>
      </c>
      <c r="D811" t="inlineStr">
        <is>
          <t>RetailBanking/Account/b_SchemeChange.aspx</t>
        </is>
      </c>
      <c r="E811" t="inlineStr">
        <is>
          <t>Medium</t>
        </is>
      </c>
      <c r="F811" s="25">
        <f>VLOOKUP(E811,Assumptions!$A$5:$B$8,2,0)</f>
        <v/>
      </c>
    </row>
    <row r="812">
      <c r="A812" t="inlineStr">
        <is>
          <t>RetailBanking</t>
        </is>
      </c>
      <c r="B812" t="inlineStr">
        <is>
          <t>Account</t>
        </is>
      </c>
      <c r="C812" t="inlineStr">
        <is>
          <t>bankCurrentAccount.aspx</t>
        </is>
      </c>
      <c r="D812" t="inlineStr">
        <is>
          <t>RetailBanking/Account/bankCurrentAccount.aspx</t>
        </is>
      </c>
      <c r="E812" t="inlineStr">
        <is>
          <t>Medium</t>
        </is>
      </c>
      <c r="F812" s="25">
        <f>VLOOKUP(E812,Assumptions!$A$5:$B$8,2,0)</f>
        <v/>
      </c>
    </row>
    <row r="813">
      <c r="A813" t="inlineStr">
        <is>
          <t>RetailBanking</t>
        </is>
      </c>
      <c r="B813" t="inlineStr">
        <is>
          <t>Account</t>
        </is>
      </c>
      <c r="C813" t="inlineStr">
        <is>
          <t>c_CCAccReview.aspx</t>
        </is>
      </c>
      <c r="D813" t="inlineStr">
        <is>
          <t>RetailBanking/Account/c_CCAccReview.aspx</t>
        </is>
      </c>
      <c r="E813" t="inlineStr">
        <is>
          <t>Medium</t>
        </is>
      </c>
      <c r="F813" s="25">
        <f>VLOOKUP(E813,Assumptions!$A$5:$B$8,2,0)</f>
        <v/>
      </c>
    </row>
    <row r="814">
      <c r="A814" t="inlineStr">
        <is>
          <t>RetailBanking</t>
        </is>
      </c>
      <c r="B814" t="inlineStr">
        <is>
          <t>Account</t>
        </is>
      </c>
      <c r="C814" t="inlineStr">
        <is>
          <t>c_CCODEnhancement.aspx</t>
        </is>
      </c>
      <c r="D814" t="inlineStr">
        <is>
          <t>RetailBanking/Account/c_CCODEnhancement.aspx</t>
        </is>
      </c>
      <c r="E814" t="inlineStr">
        <is>
          <t>Medium</t>
        </is>
      </c>
      <c r="F814" s="25">
        <f>VLOOKUP(E814,Assumptions!$A$5:$B$8,2,0)</f>
        <v/>
      </c>
    </row>
    <row r="815">
      <c r="A815" t="inlineStr">
        <is>
          <t>RetailBanking</t>
        </is>
      </c>
      <c r="B815" t="inlineStr">
        <is>
          <t>Account</t>
        </is>
      </c>
      <c r="C815" t="inlineStr">
        <is>
          <t>c_FdLineInfo.aspx</t>
        </is>
      </c>
      <c r="D815" t="inlineStr">
        <is>
          <t>RetailBanking/Account/c_FdLineInfo.aspx</t>
        </is>
      </c>
      <c r="E815" t="inlineStr">
        <is>
          <t>Medium</t>
        </is>
      </c>
      <c r="F815" s="25">
        <f>VLOOKUP(E815,Assumptions!$A$5:$B$8,2,0)</f>
        <v/>
      </c>
    </row>
    <row r="816">
      <c r="A816" t="inlineStr">
        <is>
          <t>RetailBanking</t>
        </is>
      </c>
      <c r="B816" t="inlineStr">
        <is>
          <t>Account</t>
        </is>
      </c>
      <c r="C816" t="inlineStr">
        <is>
          <t>c_GoldDetails.aspx</t>
        </is>
      </c>
      <c r="D816" t="inlineStr">
        <is>
          <t>RetailBanking/Account/c_GoldDetails.aspx</t>
        </is>
      </c>
      <c r="E816" t="inlineStr">
        <is>
          <t>Medium</t>
        </is>
      </c>
      <c r="F816" s="25">
        <f>VLOOKUP(E816,Assumptions!$A$5:$B$8,2,0)</f>
        <v/>
      </c>
    </row>
    <row r="817">
      <c r="A817" t="inlineStr">
        <is>
          <t>RetailBanking</t>
        </is>
      </c>
      <c r="B817" t="inlineStr">
        <is>
          <t>Account</t>
        </is>
      </c>
      <c r="C817" t="inlineStr">
        <is>
          <t>c_Insurance.aspx</t>
        </is>
      </c>
      <c r="D817" t="inlineStr">
        <is>
          <t>RetailBanking/Account/c_Insurance.aspx</t>
        </is>
      </c>
      <c r="E817" t="inlineStr">
        <is>
          <t>Medium</t>
        </is>
      </c>
      <c r="F817" s="25">
        <f>VLOOKUP(E817,Assumptions!$A$5:$B$8,2,0)</f>
        <v/>
      </c>
    </row>
    <row r="818">
      <c r="A818" t="inlineStr">
        <is>
          <t>RetailBanking</t>
        </is>
      </c>
      <c r="B818" t="inlineStr">
        <is>
          <t>Account</t>
        </is>
      </c>
      <c r="C818" t="inlineStr">
        <is>
          <t>c_Loan.aspx</t>
        </is>
      </c>
      <c r="D818" t="inlineStr">
        <is>
          <t>RetailBanking/Account/c_Loan.aspx</t>
        </is>
      </c>
      <c r="E818" t="inlineStr">
        <is>
          <t>Medium</t>
        </is>
      </c>
      <c r="F818" s="25">
        <f>VLOOKUP(E818,Assumptions!$A$5:$B$8,2,0)</f>
        <v/>
      </c>
    </row>
    <row r="819">
      <c r="A819" t="inlineStr">
        <is>
          <t>RetailBanking</t>
        </is>
      </c>
      <c r="B819" t="inlineStr">
        <is>
          <t>Account</t>
        </is>
      </c>
      <c r="C819" t="inlineStr">
        <is>
          <t>c_LoanSecurity.aspx</t>
        </is>
      </c>
      <c r="D819" t="inlineStr">
        <is>
          <t>RetailBanking/Account/c_LoanSecurity.aspx</t>
        </is>
      </c>
      <c r="E819" t="inlineStr">
        <is>
          <t>Medium</t>
        </is>
      </c>
      <c r="F819" s="25">
        <f>VLOOKUP(E819,Assumptions!$A$5:$B$8,2,0)</f>
        <v/>
      </c>
    </row>
    <row r="820">
      <c r="A820" t="inlineStr">
        <is>
          <t>RetailBanking</t>
        </is>
      </c>
      <c r="B820" t="inlineStr">
        <is>
          <t>Account</t>
        </is>
      </c>
      <c r="C820" t="inlineStr">
        <is>
          <t>c_MakeOfVehicleMaster.aspx</t>
        </is>
      </c>
      <c r="D820" t="inlineStr">
        <is>
          <t>RetailBanking/Account/c_MakeOfVehicleMaster.aspx</t>
        </is>
      </c>
      <c r="E820" t="inlineStr">
        <is>
          <t>Medium</t>
        </is>
      </c>
      <c r="F820" s="25">
        <f>VLOOKUP(E820,Assumptions!$A$5:$B$8,2,0)</f>
        <v/>
      </c>
    </row>
    <row r="821">
      <c r="A821" t="inlineStr">
        <is>
          <t>RetailBanking</t>
        </is>
      </c>
      <c r="B821" t="inlineStr">
        <is>
          <t>Account</t>
        </is>
      </c>
      <c r="C821" t="inlineStr">
        <is>
          <t>c_MultiIRSlabUpdate.aspx</t>
        </is>
      </c>
      <c r="D821" t="inlineStr">
        <is>
          <t>RetailBanking/Account/c_MultiIRSlabUpdate.aspx</t>
        </is>
      </c>
      <c r="E821" t="inlineStr">
        <is>
          <t>Medium</t>
        </is>
      </c>
      <c r="F821" s="25">
        <f>VLOOKUP(E821,Assumptions!$A$5:$B$8,2,0)</f>
        <v/>
      </c>
    </row>
    <row r="822">
      <c r="A822" t="inlineStr">
        <is>
          <t>RetailBanking</t>
        </is>
      </c>
      <c r="B822" t="inlineStr">
        <is>
          <t>Account</t>
        </is>
      </c>
      <c r="C822" t="inlineStr">
        <is>
          <t>c_OtherSecurity.aspx</t>
        </is>
      </c>
      <c r="D822" t="inlineStr">
        <is>
          <t>RetailBanking/Account/c_OtherSecurity.aspx</t>
        </is>
      </c>
      <c r="E822" t="inlineStr">
        <is>
          <t>Medium</t>
        </is>
      </c>
      <c r="F822" s="25">
        <f>VLOOKUP(E822,Assumptions!$A$5:$B$8,2,0)</f>
        <v/>
      </c>
    </row>
    <row r="823">
      <c r="A823" t="inlineStr">
        <is>
          <t>RetailBanking</t>
        </is>
      </c>
      <c r="B823" t="inlineStr">
        <is>
          <t>Account</t>
        </is>
      </c>
      <c r="C823" t="inlineStr">
        <is>
          <t>c_ReducingCCRenewal.aspx</t>
        </is>
      </c>
      <c r="D823" t="inlineStr">
        <is>
          <t>RetailBanking/Account/c_ReducingCCRenewal.aspx</t>
        </is>
      </c>
      <c r="E823" t="inlineStr">
        <is>
          <t>Medium</t>
        </is>
      </c>
      <c r="F823" s="25">
        <f>VLOOKUP(E823,Assumptions!$A$5:$B$8,2,0)</f>
        <v/>
      </c>
    </row>
    <row r="824">
      <c r="A824" t="inlineStr">
        <is>
          <t>RetailBanking</t>
        </is>
      </c>
      <c r="B824" t="inlineStr">
        <is>
          <t>Account</t>
        </is>
      </c>
      <c r="C824" t="inlineStr">
        <is>
          <t>c_SecInstitutionalGuarantee.aspx</t>
        </is>
      </c>
      <c r="D824" t="inlineStr">
        <is>
          <t>RetailBanking/Account/c_SecInstitutionalGuarantee.aspx</t>
        </is>
      </c>
      <c r="E824" t="inlineStr">
        <is>
          <t>Medium</t>
        </is>
      </c>
      <c r="F824" s="25">
        <f>VLOOKUP(E824,Assumptions!$A$5:$B$8,2,0)</f>
        <v/>
      </c>
    </row>
    <row r="825">
      <c r="A825" t="inlineStr">
        <is>
          <t>RetailBanking</t>
        </is>
      </c>
      <c r="B825" t="inlineStr">
        <is>
          <t>Account</t>
        </is>
      </c>
      <c r="C825" t="inlineStr">
        <is>
          <t>c_SecNationalSavCertificate.aspx</t>
        </is>
      </c>
      <c r="D825" t="inlineStr">
        <is>
          <t>RetailBanking/Account/c_SecNationalSavCertificate.aspx</t>
        </is>
      </c>
      <c r="E825" t="inlineStr">
        <is>
          <t>Medium</t>
        </is>
      </c>
      <c r="F825" s="25">
        <f>VLOOKUP(E825,Assumptions!$A$5:$B$8,2,0)</f>
        <v/>
      </c>
    </row>
    <row r="826">
      <c r="A826" t="inlineStr">
        <is>
          <t>RetailBanking</t>
        </is>
      </c>
      <c r="B826" t="inlineStr">
        <is>
          <t>Account</t>
        </is>
      </c>
      <c r="C826" t="inlineStr">
        <is>
          <t>c_SecurityGOIBond.aspx</t>
        </is>
      </c>
      <c r="D826" t="inlineStr">
        <is>
          <t>RetailBanking/Account/c_SecurityGOIBond.aspx</t>
        </is>
      </c>
      <c r="E826" t="inlineStr">
        <is>
          <t>Medium</t>
        </is>
      </c>
      <c r="F826" s="25">
        <f>VLOOKUP(E826,Assumptions!$A$5:$B$8,2,0)</f>
        <v/>
      </c>
    </row>
    <row r="827">
      <c r="A827" t="inlineStr">
        <is>
          <t>RetailBanking</t>
        </is>
      </c>
      <c r="B827" t="inlineStr">
        <is>
          <t>Account</t>
        </is>
      </c>
      <c r="C827" t="inlineStr">
        <is>
          <t>c_SecurityMutualFunds.aspx</t>
        </is>
      </c>
      <c r="D827" t="inlineStr">
        <is>
          <t>RetailBanking/Account/c_SecurityMutualFunds.aspx</t>
        </is>
      </c>
      <c r="E827" t="inlineStr">
        <is>
          <t>Medium</t>
        </is>
      </c>
      <c r="F827" s="25">
        <f>VLOOKUP(E827,Assumptions!$A$5:$B$8,2,0)</f>
        <v/>
      </c>
    </row>
    <row r="828">
      <c r="A828" t="inlineStr">
        <is>
          <t>RetailBanking</t>
        </is>
      </c>
      <c r="B828" t="inlineStr">
        <is>
          <t>Account</t>
        </is>
      </c>
      <c r="C828" t="inlineStr">
        <is>
          <t>c_SecurityOtherCert.aspx</t>
        </is>
      </c>
      <c r="D828" t="inlineStr">
        <is>
          <t>RetailBanking/Account/c_SecurityOtherCert.aspx</t>
        </is>
      </c>
      <c r="E828" t="inlineStr">
        <is>
          <t>Medium</t>
        </is>
      </c>
      <c r="F828" s="25">
        <f>VLOOKUP(E828,Assumptions!$A$5:$B$8,2,0)</f>
        <v/>
      </c>
    </row>
    <row r="829">
      <c r="A829" t="inlineStr">
        <is>
          <t>RetailBanking</t>
        </is>
      </c>
      <c r="B829" t="inlineStr">
        <is>
          <t>Account</t>
        </is>
      </c>
      <c r="C829" t="inlineStr">
        <is>
          <t>c_SecurityPersonalGuarantee.aspx</t>
        </is>
      </c>
      <c r="D829" t="inlineStr">
        <is>
          <t>RetailBanking/Account/c_SecurityPersonalGuarantee.aspx</t>
        </is>
      </c>
      <c r="E829" t="inlineStr">
        <is>
          <t>Medium</t>
        </is>
      </c>
      <c r="F829" s="25">
        <f>VLOOKUP(E829,Assumptions!$A$5:$B$8,2,0)</f>
        <v/>
      </c>
    </row>
    <row r="830">
      <c r="A830" t="inlineStr">
        <is>
          <t>RetailBanking</t>
        </is>
      </c>
      <c r="B830" t="inlineStr">
        <is>
          <t>Account</t>
        </is>
      </c>
      <c r="C830" t="inlineStr">
        <is>
          <t>c_SecurityProperty.aspx</t>
        </is>
      </c>
      <c r="D830" t="inlineStr">
        <is>
          <t>RetailBanking/Account/c_SecurityProperty.aspx</t>
        </is>
      </c>
      <c r="E830" t="inlineStr">
        <is>
          <t>Medium</t>
        </is>
      </c>
      <c r="F830" s="25">
        <f>VLOOKUP(E830,Assumptions!$A$5:$B$8,2,0)</f>
        <v/>
      </c>
    </row>
    <row r="831">
      <c r="A831" t="inlineStr">
        <is>
          <t>RetailBanking</t>
        </is>
      </c>
      <c r="B831" t="inlineStr">
        <is>
          <t>Account</t>
        </is>
      </c>
      <c r="C831" t="inlineStr">
        <is>
          <t>c_SecurityStockDetails.aspx</t>
        </is>
      </c>
      <c r="D831" t="inlineStr">
        <is>
          <t>RetailBanking/Account/c_SecurityStockDetails.aspx</t>
        </is>
      </c>
      <c r="E831" t="inlineStr">
        <is>
          <t>Medium</t>
        </is>
      </c>
      <c r="F831" s="25">
        <f>VLOOKUP(E831,Assumptions!$A$5:$B$8,2,0)</f>
        <v/>
      </c>
    </row>
    <row r="832">
      <c r="A832" t="inlineStr">
        <is>
          <t>RetailBanking</t>
        </is>
      </c>
      <c r="B832" t="inlineStr">
        <is>
          <t>Account</t>
        </is>
      </c>
      <c r="C832" t="inlineStr">
        <is>
          <t>c_StockDetails.aspx</t>
        </is>
      </c>
      <c r="D832" t="inlineStr">
        <is>
          <t>RetailBanking/Account/c_StockDetails.aspx</t>
        </is>
      </c>
      <c r="E832" t="inlineStr">
        <is>
          <t>Medium</t>
        </is>
      </c>
      <c r="F832" s="25">
        <f>VLOOKUP(E832,Assumptions!$A$5:$B$8,2,0)</f>
        <v/>
      </c>
    </row>
    <row r="833">
      <c r="A833" t="inlineStr">
        <is>
          <t>RetailBanking</t>
        </is>
      </c>
      <c r="B833" t="inlineStr">
        <is>
          <t>Account</t>
        </is>
      </c>
      <c r="C833" t="inlineStr">
        <is>
          <t>c_VehicleDetails.aspx</t>
        </is>
      </c>
      <c r="D833" t="inlineStr">
        <is>
          <t>RetailBanking/Account/c_VehicleDetails.aspx</t>
        </is>
      </c>
      <c r="E833" t="inlineStr">
        <is>
          <t>Medium</t>
        </is>
      </c>
      <c r="F833" s="25">
        <f>VLOOKUP(E833,Assumptions!$A$5:$B$8,2,0)</f>
        <v/>
      </c>
    </row>
    <row r="834">
      <c r="A834" t="inlineStr">
        <is>
          <t>RetailBanking</t>
        </is>
      </c>
      <c r="B834" t="inlineStr">
        <is>
          <t>Account</t>
        </is>
      </c>
      <c r="C834" t="inlineStr">
        <is>
          <t>c_VehicleMaster.aspx</t>
        </is>
      </c>
      <c r="D834" t="inlineStr">
        <is>
          <t>RetailBanking/Account/c_VehicleMaster.aspx</t>
        </is>
      </c>
      <c r="E834" t="inlineStr">
        <is>
          <t>Medium</t>
        </is>
      </c>
      <c r="F834" s="25">
        <f>VLOOKUP(E834,Assumptions!$A$5:$B$8,2,0)</f>
        <v/>
      </c>
    </row>
    <row r="835">
      <c r="A835" t="inlineStr">
        <is>
          <t>RetailBanking</t>
        </is>
      </c>
      <c r="B835" t="inlineStr">
        <is>
          <t>Account</t>
        </is>
      </c>
      <c r="C835" t="inlineStr">
        <is>
          <t>c_WareHouseEntry.aspx</t>
        </is>
      </c>
      <c r="D835" t="inlineStr">
        <is>
          <t>RetailBanking/Account/c_WareHouseEntry.aspx</t>
        </is>
      </c>
      <c r="E835" t="inlineStr">
        <is>
          <t>Medium</t>
        </is>
      </c>
      <c r="F835" s="25">
        <f>VLOOKUP(E835,Assumptions!$A$5:$B$8,2,0)</f>
        <v/>
      </c>
    </row>
    <row r="836">
      <c r="A836" t="inlineStr">
        <is>
          <t>RetailBanking</t>
        </is>
      </c>
      <c r="B836" t="inlineStr">
        <is>
          <t>Account</t>
        </is>
      </c>
      <c r="C836" t="inlineStr">
        <is>
          <t>callDepositAccount.aspx</t>
        </is>
      </c>
      <c r="D836" t="inlineStr">
        <is>
          <t>RetailBanking/Account/callDepositAccount.aspx</t>
        </is>
      </c>
      <c r="E836" t="inlineStr">
        <is>
          <t>Medium</t>
        </is>
      </c>
      <c r="F836" s="25">
        <f>VLOOKUP(E836,Assumptions!$A$5:$B$8,2,0)</f>
        <v/>
      </c>
    </row>
    <row r="837">
      <c r="A837" t="inlineStr">
        <is>
          <t>RetailBanking</t>
        </is>
      </c>
      <c r="B837" t="inlineStr">
        <is>
          <t>Account</t>
        </is>
      </c>
      <c r="C837" t="inlineStr">
        <is>
          <t>d_FDIREnhance.aspx</t>
        </is>
      </c>
      <c r="D837" t="inlineStr">
        <is>
          <t>RetailBanking/Account/d_FDIREnhance.aspx</t>
        </is>
      </c>
      <c r="E837" t="inlineStr">
        <is>
          <t>Medium</t>
        </is>
      </c>
      <c r="F837" s="25">
        <f>VLOOKUP(E837,Assumptions!$A$5:$B$8,2,0)</f>
        <v/>
      </c>
    </row>
    <row r="838">
      <c r="A838" t="inlineStr">
        <is>
          <t>RetailBanking</t>
        </is>
      </c>
      <c r="B838" t="inlineStr">
        <is>
          <t>Account</t>
        </is>
      </c>
      <c r="C838" t="inlineStr">
        <is>
          <t>depositAccount.aspx</t>
        </is>
      </c>
      <c r="D838" t="inlineStr">
        <is>
          <t>RetailBanking/Account/depositAccount.aspx</t>
        </is>
      </c>
      <c r="E838" t="inlineStr">
        <is>
          <t>Medium</t>
        </is>
      </c>
      <c r="F838" s="25">
        <f>VLOOKUP(E838,Assumptions!$A$5:$B$8,2,0)</f>
        <v/>
      </c>
    </row>
    <row r="839">
      <c r="A839" t="inlineStr">
        <is>
          <t>RetailBanking</t>
        </is>
      </c>
      <c r="B839" t="inlineStr">
        <is>
          <t>Account</t>
        </is>
      </c>
      <c r="C839" t="inlineStr">
        <is>
          <t>depositaccountv1.aspx</t>
        </is>
      </c>
      <c r="D839" t="inlineStr">
        <is>
          <t>RetailBanking/Account/depositaccountv1.aspx</t>
        </is>
      </c>
      <c r="E839" t="inlineStr">
        <is>
          <t>Medium</t>
        </is>
      </c>
      <c r="F839" s="25">
        <f>VLOOKUP(E839,Assumptions!$A$5:$B$8,2,0)</f>
        <v/>
      </c>
    </row>
    <row r="840">
      <c r="A840" t="inlineStr">
        <is>
          <t>RetailBanking</t>
        </is>
      </c>
      <c r="B840" t="inlineStr">
        <is>
          <t>Account</t>
        </is>
      </c>
      <c r="C840" t="inlineStr">
        <is>
          <t>g_Group.aspx</t>
        </is>
      </c>
      <c r="D840" t="inlineStr">
        <is>
          <t>RetailBanking/Account/g_Group.aspx</t>
        </is>
      </c>
      <c r="E840" t="inlineStr">
        <is>
          <t>Medium</t>
        </is>
      </c>
      <c r="F840" s="25">
        <f>VLOOKUP(E840,Assumptions!$A$5:$B$8,2,0)</f>
        <v/>
      </c>
    </row>
    <row r="841">
      <c r="A841" t="inlineStr">
        <is>
          <t>RetailBanking</t>
        </is>
      </c>
      <c r="B841" t="inlineStr">
        <is>
          <t>Account</t>
        </is>
      </c>
      <c r="C841" t="inlineStr">
        <is>
          <t>generalAccount.aspx</t>
        </is>
      </c>
      <c r="D841" t="inlineStr">
        <is>
          <t>RetailBanking/Account/generalAccount.aspx</t>
        </is>
      </c>
      <c r="E841" t="inlineStr">
        <is>
          <t>Medium</t>
        </is>
      </c>
      <c r="F841" s="25">
        <f>VLOOKUP(E841,Assumptions!$A$5:$B$8,2,0)</f>
        <v/>
      </c>
    </row>
    <row r="842">
      <c r="A842" t="inlineStr">
        <is>
          <t>RetailBanking</t>
        </is>
      </c>
      <c r="B842" t="inlineStr">
        <is>
          <t>Account</t>
        </is>
      </c>
      <c r="C842" t="inlineStr">
        <is>
          <t>p_LNCCdocument.aspx</t>
        </is>
      </c>
      <c r="D842" t="inlineStr">
        <is>
          <t>RetailBanking/Account/p_LNCCdocument.aspx</t>
        </is>
      </c>
      <c r="E842" t="inlineStr">
        <is>
          <t>Medium</t>
        </is>
      </c>
      <c r="F842" s="25">
        <f>VLOOKUP(E842,Assumptions!$A$5:$B$8,2,0)</f>
        <v/>
      </c>
    </row>
    <row r="843">
      <c r="A843" t="inlineStr">
        <is>
          <t>RetailBanking</t>
        </is>
      </c>
      <c r="B843" t="inlineStr">
        <is>
          <t>Account</t>
        </is>
      </c>
      <c r="C843" t="inlineStr">
        <is>
          <t>showMultipleAccountInfo.aspx</t>
        </is>
      </c>
      <c r="D843" t="inlineStr">
        <is>
          <t>RetailBanking/Account/showMultipleAccountInfo.aspx</t>
        </is>
      </c>
      <c r="E843" t="inlineStr">
        <is>
          <t>Medium</t>
        </is>
      </c>
      <c r="F843" s="25">
        <f>VLOOKUP(E843,Assumptions!$A$5:$B$8,2,0)</f>
        <v/>
      </c>
    </row>
    <row r="844">
      <c r="A844" t="inlineStr">
        <is>
          <t>RetailBanking</t>
        </is>
      </c>
      <c r="B844" t="inlineStr"/>
      <c r="C844" t="inlineStr">
        <is>
          <t>AccountClientUpdate.aspx</t>
        </is>
      </c>
      <c r="D844" t="inlineStr">
        <is>
          <t>RetailBanking/AccountClientUpdate.aspx</t>
        </is>
      </c>
      <c r="E844" t="inlineStr">
        <is>
          <t>Medium</t>
        </is>
      </c>
      <c r="F844" s="25">
        <f>VLOOKUP(E844,Assumptions!$A$5:$B$8,2,0)</f>
        <v/>
      </c>
    </row>
    <row r="845">
      <c r="A845" t="inlineStr">
        <is>
          <t>RetailBanking</t>
        </is>
      </c>
      <c r="B845" t="inlineStr"/>
      <c r="C845" t="inlineStr">
        <is>
          <t>AccountOpeningServiceChargesPosting.aspx</t>
        </is>
      </c>
      <c r="D845" t="inlineStr">
        <is>
          <t>RetailBanking/AccountOpeningServiceChargesPosting.aspx</t>
        </is>
      </c>
      <c r="E845" t="inlineStr">
        <is>
          <t>Medium</t>
        </is>
      </c>
      <c r="F845" s="25">
        <f>VLOOKUP(E845,Assumptions!$A$5:$B$8,2,0)</f>
        <v/>
      </c>
    </row>
    <row r="846">
      <c r="A846" t="inlineStr">
        <is>
          <t>RetailBanking</t>
        </is>
      </c>
      <c r="B846" t="inlineStr"/>
      <c r="C846" t="inlineStr">
        <is>
          <t>AccountViewer.aspx</t>
        </is>
      </c>
      <c r="D846" t="inlineStr">
        <is>
          <t>RetailBanking/AccountViewer.aspx</t>
        </is>
      </c>
      <c r="E846" t="inlineStr">
        <is>
          <t>Medium</t>
        </is>
      </c>
      <c r="F846" s="25">
        <f>VLOOKUP(E846,Assumptions!$A$5:$B$8,2,0)</f>
        <v/>
      </c>
    </row>
    <row r="847">
      <c r="A847" t="inlineStr">
        <is>
          <t>RetailBanking</t>
        </is>
      </c>
      <c r="B847" t="inlineStr">
        <is>
          <t>AgentDevice</t>
        </is>
      </c>
      <c r="C847" t="inlineStr">
        <is>
          <t>AgentDeviceMapLog.aspx</t>
        </is>
      </c>
      <c r="D847" t="inlineStr">
        <is>
          <t>RetailBanking/AgentDevice/AgentDeviceMapLog.aspx</t>
        </is>
      </c>
      <c r="E847" t="inlineStr">
        <is>
          <t>Medium</t>
        </is>
      </c>
      <c r="F847" s="25">
        <f>VLOOKUP(E847,Assumptions!$A$5:$B$8,2,0)</f>
        <v/>
      </c>
    </row>
    <row r="848">
      <c r="A848" t="inlineStr">
        <is>
          <t>RetailBanking</t>
        </is>
      </c>
      <c r="B848" t="inlineStr">
        <is>
          <t>AgentDevice</t>
        </is>
      </c>
      <c r="C848" t="inlineStr">
        <is>
          <t>AgentPassword.aspx</t>
        </is>
      </c>
      <c r="D848" t="inlineStr">
        <is>
          <t>RetailBanking/AgentDevice/AgentPassword.aspx</t>
        </is>
      </c>
      <c r="E848" t="inlineStr">
        <is>
          <t>Medium</t>
        </is>
      </c>
      <c r="F848" s="25">
        <f>VLOOKUP(E848,Assumptions!$A$5:$B$8,2,0)</f>
        <v/>
      </c>
    </row>
    <row r="849">
      <c r="A849" t="inlineStr">
        <is>
          <t>RetailBanking</t>
        </is>
      </c>
      <c r="B849" t="inlineStr">
        <is>
          <t>AgentDevice</t>
        </is>
      </c>
      <c r="C849" t="inlineStr">
        <is>
          <t>b_DeviceMaster.aspx</t>
        </is>
      </c>
      <c r="D849" t="inlineStr">
        <is>
          <t>RetailBanking/AgentDevice/b_DeviceMaster.aspx</t>
        </is>
      </c>
      <c r="E849" t="inlineStr">
        <is>
          <t>Medium</t>
        </is>
      </c>
      <c r="F849" s="25">
        <f>VLOOKUP(E849,Assumptions!$A$5:$B$8,2,0)</f>
        <v/>
      </c>
    </row>
    <row r="850">
      <c r="A850" t="inlineStr">
        <is>
          <t>RetailBanking</t>
        </is>
      </c>
      <c r="B850" t="inlineStr">
        <is>
          <t>AgriLoan</t>
        </is>
      </c>
      <c r="C850" t="inlineStr">
        <is>
          <t>AgriLoanAccClosing.aspx</t>
        </is>
      </c>
      <c r="D850" t="inlineStr">
        <is>
          <t>RetailBanking/AgriLoan/AgriLoanAccClosing.aspx</t>
        </is>
      </c>
      <c r="E850" t="inlineStr">
        <is>
          <t>Medium</t>
        </is>
      </c>
      <c r="F850" s="25">
        <f>VLOOKUP(E850,Assumptions!$A$5:$B$8,2,0)</f>
        <v/>
      </c>
    </row>
    <row r="851">
      <c r="A851" t="inlineStr">
        <is>
          <t>RetailBanking</t>
        </is>
      </c>
      <c r="B851" t="inlineStr">
        <is>
          <t>AgriLoan</t>
        </is>
      </c>
      <c r="C851" t="inlineStr">
        <is>
          <t>C_AgriLoanExt.aspx</t>
        </is>
      </c>
      <c r="D851" t="inlineStr">
        <is>
          <t>RetailBanking/AgriLoan/C_AgriLoanExt.aspx</t>
        </is>
      </c>
      <c r="E851" t="inlineStr">
        <is>
          <t>Medium</t>
        </is>
      </c>
      <c r="F851" s="25">
        <f>VLOOKUP(E851,Assumptions!$A$5:$B$8,2,0)</f>
        <v/>
      </c>
    </row>
    <row r="852">
      <c r="A852" t="inlineStr">
        <is>
          <t>RetailBanking</t>
        </is>
      </c>
      <c r="B852" t="inlineStr">
        <is>
          <t>AgriLoan</t>
        </is>
      </c>
      <c r="C852" t="inlineStr">
        <is>
          <t>CropRates.aspx</t>
        </is>
      </c>
      <c r="D852" t="inlineStr">
        <is>
          <t>RetailBanking/AgriLoan/CropRates.aspx</t>
        </is>
      </c>
      <c r="E852" t="inlineStr">
        <is>
          <t>Medium</t>
        </is>
      </c>
      <c r="F852" s="25">
        <f>VLOOKUP(E852,Assumptions!$A$5:$B$8,2,0)</f>
        <v/>
      </c>
    </row>
    <row r="853">
      <c r="A853" t="inlineStr">
        <is>
          <t>RetailBanking</t>
        </is>
      </c>
      <c r="B853" t="inlineStr">
        <is>
          <t>AgriLoan</t>
        </is>
      </c>
      <c r="C853" t="inlineStr">
        <is>
          <t>CropRatesImport.aspx</t>
        </is>
      </c>
      <c r="D853" t="inlineStr">
        <is>
          <t>RetailBanking/AgriLoan/CropRatesImport.aspx</t>
        </is>
      </c>
      <c r="E853" t="inlineStr">
        <is>
          <t>Medium</t>
        </is>
      </c>
      <c r="F853" s="25">
        <f>VLOOKUP(E853,Assumptions!$A$5:$B$8,2,0)</f>
        <v/>
      </c>
    </row>
    <row r="854">
      <c r="A854" t="inlineStr">
        <is>
          <t>RetailBanking</t>
        </is>
      </c>
      <c r="B854" t="inlineStr">
        <is>
          <t>AgriLoan</t>
        </is>
      </c>
      <c r="C854" t="inlineStr">
        <is>
          <t>CropSeasonalCategoryDuration.aspx</t>
        </is>
      </c>
      <c r="D854" t="inlineStr">
        <is>
          <t>RetailBanking/AgriLoan/CropSeasonalCategoryDuration.aspx</t>
        </is>
      </c>
      <c r="E854" t="inlineStr">
        <is>
          <t>Medium</t>
        </is>
      </c>
      <c r="F854" s="25">
        <f>VLOOKUP(E854,Assumptions!$A$5:$B$8,2,0)</f>
        <v/>
      </c>
    </row>
    <row r="855">
      <c r="A855" t="inlineStr">
        <is>
          <t>RetailBanking</t>
        </is>
      </c>
      <c r="B855" t="inlineStr">
        <is>
          <t>AgriLoan</t>
        </is>
      </c>
      <c r="C855" t="inlineStr">
        <is>
          <t>CropSeasonalMapping.aspx</t>
        </is>
      </c>
      <c r="D855" t="inlineStr">
        <is>
          <t>RetailBanking/AgriLoan/CropSeasonalMapping.aspx</t>
        </is>
      </c>
      <c r="E855" t="inlineStr">
        <is>
          <t>Medium</t>
        </is>
      </c>
      <c r="F855" s="25">
        <f>VLOOKUP(E855,Assumptions!$A$5:$B$8,2,0)</f>
        <v/>
      </c>
    </row>
    <row r="856">
      <c r="A856" t="inlineStr">
        <is>
          <t>RetailBanking</t>
        </is>
      </c>
      <c r="B856" t="inlineStr">
        <is>
          <t>AgriLoan</t>
        </is>
      </c>
      <c r="C856" t="inlineStr">
        <is>
          <t>Int_subvention_CalcV1.aspx</t>
        </is>
      </c>
      <c r="D856" t="inlineStr">
        <is>
          <t>RetailBanking/AgriLoan/Int_subvention_CalcV1.aspx</t>
        </is>
      </c>
      <c r="E856" t="inlineStr">
        <is>
          <t>Medium</t>
        </is>
      </c>
      <c r="F856" s="25">
        <f>VLOOKUP(E856,Assumptions!$A$5:$B$8,2,0)</f>
        <v/>
      </c>
    </row>
    <row r="857">
      <c r="A857" t="inlineStr">
        <is>
          <t>RetailBanking</t>
        </is>
      </c>
      <c r="B857" t="inlineStr">
        <is>
          <t>AgriLoan</t>
        </is>
      </c>
      <c r="C857" t="inlineStr">
        <is>
          <t>LoanRecovery.aspx</t>
        </is>
      </c>
      <c r="D857" t="inlineStr">
        <is>
          <t>RetailBanking/AgriLoan/LoanRecovery.aspx</t>
        </is>
      </c>
      <c r="E857" t="inlineStr">
        <is>
          <t>Medium</t>
        </is>
      </c>
      <c r="F857" s="25">
        <f>VLOOKUP(E857,Assumptions!$A$5:$B$8,2,0)</f>
        <v/>
      </c>
    </row>
    <row r="858">
      <c r="A858" t="inlineStr">
        <is>
          <t>RetailBanking</t>
        </is>
      </c>
      <c r="B858" t="inlineStr">
        <is>
          <t>AgriLoan</t>
        </is>
      </c>
      <c r="C858" t="inlineStr">
        <is>
          <t>PACSAccOpeningBULK.aspx</t>
        </is>
      </c>
      <c r="D858" t="inlineStr">
        <is>
          <t>RetailBanking/AgriLoan/PACSAccOpeningBULK.aspx</t>
        </is>
      </c>
      <c r="E858" t="inlineStr">
        <is>
          <t>Medium</t>
        </is>
      </c>
      <c r="F858" s="25">
        <f>VLOOKUP(E858,Assumptions!$A$5:$B$8,2,0)</f>
        <v/>
      </c>
    </row>
    <row r="859">
      <c r="A859" t="inlineStr">
        <is>
          <t>RetailBanking</t>
        </is>
      </c>
      <c r="B859" t="inlineStr">
        <is>
          <t>AgriLoan</t>
        </is>
      </c>
      <c r="C859" t="inlineStr">
        <is>
          <t>PACSMember.aspx</t>
        </is>
      </c>
      <c r="D859" t="inlineStr">
        <is>
          <t>RetailBanking/AgriLoan/PACSMember.aspx</t>
        </is>
      </c>
      <c r="E859" t="inlineStr">
        <is>
          <t>Medium</t>
        </is>
      </c>
      <c r="F859" s="25">
        <f>VLOOKUP(E859,Assumptions!$A$5:$B$8,2,0)</f>
        <v/>
      </c>
    </row>
    <row r="860">
      <c r="A860" t="inlineStr">
        <is>
          <t>RetailBanking</t>
        </is>
      </c>
      <c r="B860" t="inlineStr">
        <is>
          <t>AgriLoan</t>
        </is>
      </c>
      <c r="C860" t="inlineStr">
        <is>
          <t>ReleasedLandDetails.aspx</t>
        </is>
      </c>
      <c r="D860" t="inlineStr">
        <is>
          <t>RetailBanking/AgriLoan/ReleasedLandDetails.aspx</t>
        </is>
      </c>
      <c r="E860" t="inlineStr">
        <is>
          <t>Medium</t>
        </is>
      </c>
      <c r="F860" s="25">
        <f>VLOOKUP(E860,Assumptions!$A$5:$B$8,2,0)</f>
        <v/>
      </c>
    </row>
    <row r="861">
      <c r="A861" t="inlineStr">
        <is>
          <t>RetailBanking</t>
        </is>
      </c>
      <c r="B861" t="inlineStr">
        <is>
          <t>AgriLoan</t>
        </is>
      </c>
      <c r="C861" t="inlineStr">
        <is>
          <t>SocietyCreation.aspx</t>
        </is>
      </c>
      <c r="D861" t="inlineStr">
        <is>
          <t>RetailBanking/AgriLoan/SocietyCreation.aspx</t>
        </is>
      </c>
      <c r="E861" t="inlineStr">
        <is>
          <t>Medium</t>
        </is>
      </c>
      <c r="F861" s="25">
        <f>VLOOKUP(E861,Assumptions!$A$5:$B$8,2,0)</f>
        <v/>
      </c>
    </row>
    <row r="862">
      <c r="A862" t="inlineStr">
        <is>
          <t>RetailBanking</t>
        </is>
      </c>
      <c r="B862" t="inlineStr">
        <is>
          <t>AgriLoan</t>
        </is>
      </c>
      <c r="C862" t="inlineStr">
        <is>
          <t>SocietyLoan.aspx</t>
        </is>
      </c>
      <c r="D862" t="inlineStr">
        <is>
          <t>RetailBanking/AgriLoan/SocietyLoan.aspx</t>
        </is>
      </c>
      <c r="E862" t="inlineStr">
        <is>
          <t>Medium</t>
        </is>
      </c>
      <c r="F862" s="25">
        <f>VLOOKUP(E862,Assumptions!$A$5:$B$8,2,0)</f>
        <v/>
      </c>
    </row>
    <row r="863">
      <c r="A863" t="inlineStr">
        <is>
          <t>RetailBanking</t>
        </is>
      </c>
      <c r="B863" t="inlineStr">
        <is>
          <t>AgriLoan</t>
        </is>
      </c>
      <c r="C863" t="inlineStr">
        <is>
          <t>SubsidyMaster.aspx</t>
        </is>
      </c>
      <c r="D863" t="inlineStr">
        <is>
          <t>RetailBanking/AgriLoan/SubsidyMaster.aspx</t>
        </is>
      </c>
      <c r="E863" t="inlineStr">
        <is>
          <t>Medium</t>
        </is>
      </c>
      <c r="F863" s="25">
        <f>VLOOKUP(E863,Assumptions!$A$5:$B$8,2,0)</f>
        <v/>
      </c>
    </row>
    <row r="864">
      <c r="A864" t="inlineStr">
        <is>
          <t>RetailBanking</t>
        </is>
      </c>
      <c r="B864" t="inlineStr">
        <is>
          <t>AgriLoan</t>
        </is>
      </c>
      <c r="C864" t="inlineStr">
        <is>
          <t>SubsidyTransfer.aspx</t>
        </is>
      </c>
      <c r="D864" t="inlineStr">
        <is>
          <t>RetailBanking/AgriLoan/SubsidyTransfer.aspx</t>
        </is>
      </c>
      <c r="E864" t="inlineStr">
        <is>
          <t>Medium</t>
        </is>
      </c>
      <c r="F864" s="25">
        <f>VLOOKUP(E864,Assumptions!$A$5:$B$8,2,0)</f>
        <v/>
      </c>
    </row>
    <row r="865">
      <c r="A865" t="inlineStr">
        <is>
          <t>RetailBanking</t>
        </is>
      </c>
      <c r="B865" t="inlineStr">
        <is>
          <t>AgriLoan</t>
        </is>
      </c>
      <c r="C865" t="inlineStr">
        <is>
          <t>Subv_int_calc_Popup.aspx</t>
        </is>
      </c>
      <c r="D865" t="inlineStr">
        <is>
          <t>RetailBanking/AgriLoan/Subv_int_calc_Popup.aspx</t>
        </is>
      </c>
      <c r="E865" t="inlineStr">
        <is>
          <t>Medium</t>
        </is>
      </c>
      <c r="F865" s="25">
        <f>VLOOKUP(E865,Assumptions!$A$5:$B$8,2,0)</f>
        <v/>
      </c>
    </row>
    <row r="866">
      <c r="A866" t="inlineStr">
        <is>
          <t>RetailBanking</t>
        </is>
      </c>
      <c r="B866" t="inlineStr">
        <is>
          <t>AgriLoan</t>
        </is>
      </c>
      <c r="C866" t="inlineStr">
        <is>
          <t>SubventionProductDetail.aspx</t>
        </is>
      </c>
      <c r="D866" t="inlineStr">
        <is>
          <t>RetailBanking/AgriLoan/SubventionProductDetail.aspx</t>
        </is>
      </c>
      <c r="E866" t="inlineStr">
        <is>
          <t>Medium</t>
        </is>
      </c>
      <c r="F866" s="25">
        <f>VLOOKUP(E866,Assumptions!$A$5:$B$8,2,0)</f>
        <v/>
      </c>
    </row>
    <row r="867">
      <c r="A867" t="inlineStr">
        <is>
          <t>RetailBanking</t>
        </is>
      </c>
      <c r="B867" t="inlineStr">
        <is>
          <t>AgriLoan</t>
        </is>
      </c>
      <c r="C867" t="inlineStr">
        <is>
          <t>c_AgriInsurance.aspx</t>
        </is>
      </c>
      <c r="D867" t="inlineStr">
        <is>
          <t>RetailBanking/AgriLoan/c_AgriInsurance.aspx</t>
        </is>
      </c>
      <c r="E867" t="inlineStr">
        <is>
          <t>Medium</t>
        </is>
      </c>
      <c r="F867" s="25">
        <f>VLOOKUP(E867,Assumptions!$A$5:$B$8,2,0)</f>
        <v/>
      </c>
    </row>
    <row r="868">
      <c r="A868" t="inlineStr">
        <is>
          <t>RetailBanking</t>
        </is>
      </c>
      <c r="B868" t="inlineStr">
        <is>
          <t>AgriLoan</t>
        </is>
      </c>
      <c r="C868" t="inlineStr">
        <is>
          <t>c_CropGroup.aspx</t>
        </is>
      </c>
      <c r="D868" t="inlineStr">
        <is>
          <t>RetailBanking/AgriLoan/c_CropGroup.aspx</t>
        </is>
      </c>
      <c r="E868" t="inlineStr">
        <is>
          <t>Medium</t>
        </is>
      </c>
      <c r="F868" s="25">
        <f>VLOOKUP(E868,Assumptions!$A$5:$B$8,2,0)</f>
        <v/>
      </c>
    </row>
    <row r="869">
      <c r="A869" t="inlineStr">
        <is>
          <t>RetailBanking</t>
        </is>
      </c>
      <c r="B869" t="inlineStr">
        <is>
          <t>AgriLoan</t>
        </is>
      </c>
      <c r="C869" t="inlineStr">
        <is>
          <t>c_CropInscRate.aspx</t>
        </is>
      </c>
      <c r="D869" t="inlineStr">
        <is>
          <t>RetailBanking/AgriLoan/c_CropInscRate.aspx</t>
        </is>
      </c>
      <c r="E869" t="inlineStr">
        <is>
          <t>Medium</t>
        </is>
      </c>
      <c r="F869" s="25">
        <f>VLOOKUP(E869,Assumptions!$A$5:$B$8,2,0)</f>
        <v/>
      </c>
    </row>
    <row r="870">
      <c r="A870" t="inlineStr">
        <is>
          <t>RetailBanking</t>
        </is>
      </c>
      <c r="B870" t="inlineStr">
        <is>
          <t>AgriLoan</t>
        </is>
      </c>
      <c r="C870" t="inlineStr">
        <is>
          <t>c_CropMaster.aspx</t>
        </is>
      </c>
      <c r="D870" t="inlineStr">
        <is>
          <t>RetailBanking/AgriLoan/c_CropMaster.aspx</t>
        </is>
      </c>
      <c r="E870" t="inlineStr">
        <is>
          <t>Medium</t>
        </is>
      </c>
      <c r="F870" s="25">
        <f>VLOOKUP(E870,Assumptions!$A$5:$B$8,2,0)</f>
        <v/>
      </c>
    </row>
    <row r="871">
      <c r="A871" t="inlineStr">
        <is>
          <t>RetailBanking</t>
        </is>
      </c>
      <c r="B871" t="inlineStr">
        <is>
          <t>AgriLoan</t>
        </is>
      </c>
      <c r="C871" t="inlineStr">
        <is>
          <t>c_CropSeason.aspx</t>
        </is>
      </c>
      <c r="D871" t="inlineStr">
        <is>
          <t>RetailBanking/AgriLoan/c_CropSeason.aspx</t>
        </is>
      </c>
      <c r="E871" t="inlineStr">
        <is>
          <t>Medium</t>
        </is>
      </c>
      <c r="F871" s="25">
        <f>VLOOKUP(E871,Assumptions!$A$5:$B$8,2,0)</f>
        <v/>
      </c>
    </row>
    <row r="872">
      <c r="A872" t="inlineStr">
        <is>
          <t>RetailBanking</t>
        </is>
      </c>
      <c r="B872" t="inlineStr">
        <is>
          <t>AgriLoan</t>
        </is>
      </c>
      <c r="C872" t="inlineStr">
        <is>
          <t>c_LoandisbursementAgri.aspx</t>
        </is>
      </c>
      <c r="D872" t="inlineStr">
        <is>
          <t>RetailBanking/AgriLoan/c_LoandisbursementAgri.aspx</t>
        </is>
      </c>
      <c r="E872" t="inlineStr">
        <is>
          <t>Medium</t>
        </is>
      </c>
      <c r="F872" s="25">
        <f>VLOOKUP(E872,Assumptions!$A$5:$B$8,2,0)</f>
        <v/>
      </c>
    </row>
    <row r="873">
      <c r="A873" t="inlineStr">
        <is>
          <t>RetailBanking</t>
        </is>
      </c>
      <c r="B873" t="inlineStr">
        <is>
          <t>AgriLoan</t>
        </is>
      </c>
      <c r="C873" t="inlineStr">
        <is>
          <t>g_PACSBusinessAct.aspx</t>
        </is>
      </c>
      <c r="D873" t="inlineStr">
        <is>
          <t>RetailBanking/AgriLoan/g_PACSBusinessAct.aspx</t>
        </is>
      </c>
      <c r="E873" t="inlineStr">
        <is>
          <t>Medium</t>
        </is>
      </c>
      <c r="F873" s="25">
        <f>VLOOKUP(E873,Assumptions!$A$5:$B$8,2,0)</f>
        <v/>
      </c>
    </row>
    <row r="874">
      <c r="A874" t="inlineStr">
        <is>
          <t>RetailBanking</t>
        </is>
      </c>
      <c r="B874" t="inlineStr">
        <is>
          <t>AgriLoan</t>
        </is>
      </c>
      <c r="C874" t="inlineStr">
        <is>
          <t>g_PACSIRChart.aspx</t>
        </is>
      </c>
      <c r="D874" t="inlineStr">
        <is>
          <t>RetailBanking/AgriLoan/g_PACSIRChart.aspx</t>
        </is>
      </c>
      <c r="E874" t="inlineStr">
        <is>
          <t>Medium</t>
        </is>
      </c>
      <c r="F874" s="25">
        <f>VLOOKUP(E874,Assumptions!$A$5:$B$8,2,0)</f>
        <v/>
      </c>
    </row>
    <row r="875">
      <c r="A875" t="inlineStr">
        <is>
          <t>RetailBanking</t>
        </is>
      </c>
      <c r="B875" t="inlineStr">
        <is>
          <t>AgriLoan</t>
        </is>
      </c>
      <c r="C875" t="inlineStr">
        <is>
          <t>g_PACSTransfer.aspx</t>
        </is>
      </c>
      <c r="D875" t="inlineStr">
        <is>
          <t>RetailBanking/AgriLoan/g_PACSTransfer.aspx</t>
        </is>
      </c>
      <c r="E875" t="inlineStr">
        <is>
          <t>Medium</t>
        </is>
      </c>
      <c r="F875" s="25">
        <f>VLOOKUP(E875,Assumptions!$A$5:$B$8,2,0)</f>
        <v/>
      </c>
    </row>
    <row r="876">
      <c r="A876" t="inlineStr">
        <is>
          <t>RetailBanking</t>
        </is>
      </c>
      <c r="B876" t="inlineStr">
        <is>
          <t>AgriLoan</t>
        </is>
      </c>
      <c r="C876" t="inlineStr">
        <is>
          <t>p_SchemeDetails.aspx</t>
        </is>
      </c>
      <c r="D876" t="inlineStr">
        <is>
          <t>RetailBanking/AgriLoan/p_SchemeDetails.aspx</t>
        </is>
      </c>
      <c r="E876" t="inlineStr">
        <is>
          <t>Medium</t>
        </is>
      </c>
      <c r="F876" s="25">
        <f>VLOOKUP(E876,Assumptions!$A$5:$B$8,2,0)</f>
        <v/>
      </c>
    </row>
    <row r="877">
      <c r="A877" t="inlineStr">
        <is>
          <t>RetailBanking</t>
        </is>
      </c>
      <c r="B877" t="inlineStr">
        <is>
          <t>AgriLoan</t>
        </is>
      </c>
      <c r="C877" t="inlineStr">
        <is>
          <t>x_PACSMemLedOpening.aspx</t>
        </is>
      </c>
      <c r="D877" t="inlineStr">
        <is>
          <t>RetailBanking/AgriLoan/x_PACSMemLedOpening.aspx</t>
        </is>
      </c>
      <c r="E877" t="inlineStr">
        <is>
          <t>Medium</t>
        </is>
      </c>
      <c r="F877" s="25">
        <f>VLOOKUP(E877,Assumptions!$A$5:$B$8,2,0)</f>
        <v/>
      </c>
    </row>
    <row r="878">
      <c r="A878" t="inlineStr">
        <is>
          <t>RetailBanking</t>
        </is>
      </c>
      <c r="B878" t="inlineStr">
        <is>
          <t>AgriLoan</t>
        </is>
      </c>
      <c r="C878" t="inlineStr">
        <is>
          <t>x_PACSMemberDetail.aspx</t>
        </is>
      </c>
      <c r="D878" t="inlineStr">
        <is>
          <t>RetailBanking/AgriLoan/x_PACSMemberDetail.aspx</t>
        </is>
      </c>
      <c r="E878" t="inlineStr">
        <is>
          <t>Medium</t>
        </is>
      </c>
      <c r="F878" s="25">
        <f>VLOOKUP(E878,Assumptions!$A$5:$B$8,2,0)</f>
        <v/>
      </c>
    </row>
    <row r="879">
      <c r="A879" t="inlineStr">
        <is>
          <t>RetailBanking</t>
        </is>
      </c>
      <c r="B879" t="inlineStr">
        <is>
          <t>AgriLoan</t>
        </is>
      </c>
      <c r="C879" t="inlineStr">
        <is>
          <t>x_PACSRepayMemTrf.aspx</t>
        </is>
      </c>
      <c r="D879" t="inlineStr">
        <is>
          <t>RetailBanking/AgriLoan/x_PACSRepayMemTrf.aspx</t>
        </is>
      </c>
      <c r="E879" t="inlineStr">
        <is>
          <t>Medium</t>
        </is>
      </c>
      <c r="F879" s="25">
        <f>VLOOKUP(E879,Assumptions!$A$5:$B$8,2,0)</f>
        <v/>
      </c>
    </row>
    <row r="880">
      <c r="A880" t="inlineStr">
        <is>
          <t>RetailBanking</t>
        </is>
      </c>
      <c r="B880" t="inlineStr">
        <is>
          <t>AgriLoan</t>
        </is>
      </c>
      <c r="C880" t="inlineStr">
        <is>
          <t>x_ShareShorFallEnqpop.aspx</t>
        </is>
      </c>
      <c r="D880" t="inlineStr">
        <is>
          <t>RetailBanking/AgriLoan/x_ShareShorFallEnqpop.aspx</t>
        </is>
      </c>
      <c r="E880" t="inlineStr">
        <is>
          <t>Medium</t>
        </is>
      </c>
      <c r="F880" s="25">
        <f>VLOOKUP(E880,Assumptions!$A$5:$B$8,2,0)</f>
        <v/>
      </c>
    </row>
    <row r="881">
      <c r="A881" t="inlineStr">
        <is>
          <t>RetailBanking</t>
        </is>
      </c>
      <c r="B881" t="inlineStr"/>
      <c r="C881" t="inlineStr">
        <is>
          <t>AlertMessages.aspx</t>
        </is>
      </c>
      <c r="D881" t="inlineStr">
        <is>
          <t>RetailBanking/AlertMessages.aspx</t>
        </is>
      </c>
      <c r="E881" t="inlineStr">
        <is>
          <t>Medium</t>
        </is>
      </c>
      <c r="F881" s="25">
        <f>VLOOKUP(E881,Assumptions!$A$5:$B$8,2,0)</f>
        <v/>
      </c>
    </row>
    <row r="882">
      <c r="A882" t="inlineStr">
        <is>
          <t>RetailBanking</t>
        </is>
      </c>
      <c r="B882" t="inlineStr">
        <is>
          <t>Alerts</t>
        </is>
      </c>
      <c r="C882" t="inlineStr">
        <is>
          <t>CCDocReviewPend.aspx</t>
        </is>
      </c>
      <c r="D882" t="inlineStr">
        <is>
          <t>RetailBanking/Alerts/CCDocReviewPend.aspx</t>
        </is>
      </c>
      <c r="E882" t="inlineStr">
        <is>
          <t>Medium</t>
        </is>
      </c>
      <c r="F882" s="25">
        <f>VLOOKUP(E882,Assumptions!$A$5:$B$8,2,0)</f>
        <v/>
      </c>
    </row>
    <row r="883">
      <c r="A883" t="inlineStr">
        <is>
          <t>RetailBanking</t>
        </is>
      </c>
      <c r="B883" t="inlineStr">
        <is>
          <t>Alerts</t>
        </is>
      </c>
      <c r="C883" t="inlineStr">
        <is>
          <t>CCODAccExpiryInDays.aspx</t>
        </is>
      </c>
      <c r="D883" t="inlineStr">
        <is>
          <t>RetailBanking/Alerts/CCODAccExpiryInDays.aspx</t>
        </is>
      </c>
      <c r="E883" t="inlineStr">
        <is>
          <t>Medium</t>
        </is>
      </c>
      <c r="F883" s="25">
        <f>VLOOKUP(E883,Assumptions!$A$5:$B$8,2,0)</f>
        <v/>
      </c>
    </row>
    <row r="884">
      <c r="A884" t="inlineStr">
        <is>
          <t>RetailBanking</t>
        </is>
      </c>
      <c r="B884" t="inlineStr">
        <is>
          <t>Alerts</t>
        </is>
      </c>
      <c r="C884" t="inlineStr">
        <is>
          <t>EMIAlert.aspx</t>
        </is>
      </c>
      <c r="D884" t="inlineStr">
        <is>
          <t>RetailBanking/Alerts/EMIAlert.aspx</t>
        </is>
      </c>
      <c r="E884" t="inlineStr">
        <is>
          <t>Medium</t>
        </is>
      </c>
      <c r="F884" s="25">
        <f>VLOOKUP(E884,Assumptions!$A$5:$B$8,2,0)</f>
        <v/>
      </c>
    </row>
    <row r="885">
      <c r="A885" t="inlineStr">
        <is>
          <t>RetailBanking</t>
        </is>
      </c>
      <c r="B885" t="inlineStr">
        <is>
          <t>Alerts</t>
        </is>
      </c>
      <c r="C885" t="inlineStr">
        <is>
          <t>ExpWareHouseSecAlert.aspx</t>
        </is>
      </c>
      <c r="D885" t="inlineStr">
        <is>
          <t>RetailBanking/Alerts/ExpWareHouseSecAlert.aspx</t>
        </is>
      </c>
      <c r="E885" t="inlineStr">
        <is>
          <t>Medium</t>
        </is>
      </c>
      <c r="F885" s="25">
        <f>VLOOKUP(E885,Assumptions!$A$5:$B$8,2,0)</f>
        <v/>
      </c>
    </row>
    <row r="886">
      <c r="A886" t="inlineStr">
        <is>
          <t>RetailBanking</t>
        </is>
      </c>
      <c r="B886" t="inlineStr">
        <is>
          <t>Alerts</t>
        </is>
      </c>
      <c r="C886" t="inlineStr">
        <is>
          <t>GetStockExpiryAcc.aspx</t>
        </is>
      </c>
      <c r="D886" t="inlineStr">
        <is>
          <t>RetailBanking/Alerts/GetStockExpiryAcc.aspx</t>
        </is>
      </c>
      <c r="E886" t="inlineStr">
        <is>
          <t>Medium</t>
        </is>
      </c>
      <c r="F886" s="25">
        <f>VLOOKUP(E886,Assumptions!$A$5:$B$8,2,0)</f>
        <v/>
      </c>
    </row>
    <row r="887">
      <c r="A887" t="inlineStr">
        <is>
          <t>RetailBanking</t>
        </is>
      </c>
      <c r="B887" t="inlineStr">
        <is>
          <t>Alerts</t>
        </is>
      </c>
      <c r="C887" t="inlineStr">
        <is>
          <t>GoldLTV.aspx</t>
        </is>
      </c>
      <c r="D887" t="inlineStr">
        <is>
          <t>RetailBanking/Alerts/GoldLTV.aspx</t>
        </is>
      </c>
      <c r="E887" t="inlineStr">
        <is>
          <t>Medium</t>
        </is>
      </c>
      <c r="F887" s="25">
        <f>VLOOKUP(E887,Assumptions!$A$5:$B$8,2,0)</f>
        <v/>
      </c>
    </row>
    <row r="888">
      <c r="A888" t="inlineStr">
        <is>
          <t>RetailBanking</t>
        </is>
      </c>
      <c r="B888" t="inlineStr">
        <is>
          <t>Alerts</t>
        </is>
      </c>
      <c r="C888" t="inlineStr">
        <is>
          <t>HighValTrOnAccOp.aspx</t>
        </is>
      </c>
      <c r="D888" t="inlineStr">
        <is>
          <t>RetailBanking/Alerts/HighValTrOnAccOp.aspx</t>
        </is>
      </c>
      <c r="E888" t="inlineStr">
        <is>
          <t>Medium</t>
        </is>
      </c>
      <c r="F888" s="25">
        <f>VLOOKUP(E888,Assumptions!$A$5:$B$8,2,0)</f>
        <v/>
      </c>
    </row>
    <row r="889">
      <c r="A889" t="inlineStr">
        <is>
          <t>RetailBanking</t>
        </is>
      </c>
      <c r="B889" t="inlineStr">
        <is>
          <t>Alerts</t>
        </is>
      </c>
      <c r="C889" t="inlineStr">
        <is>
          <t>HighValTrOnHOl.aspx</t>
        </is>
      </c>
      <c r="D889" t="inlineStr">
        <is>
          <t>RetailBanking/Alerts/HighValTrOnHOl.aspx</t>
        </is>
      </c>
      <c r="E889" t="inlineStr">
        <is>
          <t>Medium</t>
        </is>
      </c>
      <c r="F889" s="25">
        <f>VLOOKUP(E889,Assumptions!$A$5:$B$8,2,0)</f>
        <v/>
      </c>
    </row>
    <row r="890">
      <c r="A890" t="inlineStr">
        <is>
          <t>RetailBanking</t>
        </is>
      </c>
      <c r="B890" t="inlineStr">
        <is>
          <t>Alerts</t>
        </is>
      </c>
      <c r="C890" t="inlineStr">
        <is>
          <t>Insurancealert.aspx</t>
        </is>
      </c>
      <c r="D890" t="inlineStr">
        <is>
          <t>RetailBanking/Alerts/Insurancealert.aspx</t>
        </is>
      </c>
      <c r="E890" t="inlineStr">
        <is>
          <t>Medium</t>
        </is>
      </c>
      <c r="F890" s="25">
        <f>VLOOKUP(E890,Assumptions!$A$5:$B$8,2,0)</f>
        <v/>
      </c>
    </row>
    <row r="891">
      <c r="A891" t="inlineStr">
        <is>
          <t>RetailBanking</t>
        </is>
      </c>
      <c r="B891" t="inlineStr">
        <is>
          <t>Alerts</t>
        </is>
      </c>
      <c r="C891" t="inlineStr">
        <is>
          <t>InvstIntSettleAlert.aspx</t>
        </is>
      </c>
      <c r="D891" t="inlineStr">
        <is>
          <t>RetailBanking/Alerts/InvstIntSettleAlert.aspx</t>
        </is>
      </c>
      <c r="E891" t="inlineStr">
        <is>
          <t>Medium</t>
        </is>
      </c>
      <c r="F891" s="25">
        <f>VLOOKUP(E891,Assumptions!$A$5:$B$8,2,0)</f>
        <v/>
      </c>
    </row>
    <row r="892">
      <c r="A892" t="inlineStr">
        <is>
          <t>RetailBanking</t>
        </is>
      </c>
      <c r="B892" t="inlineStr">
        <is>
          <t>Alerts</t>
        </is>
      </c>
      <c r="C892" t="inlineStr">
        <is>
          <t>InvstMatAccAlert.aspx</t>
        </is>
      </c>
      <c r="D892" t="inlineStr">
        <is>
          <t>RetailBanking/Alerts/InvstMatAccAlert.aspx</t>
        </is>
      </c>
      <c r="E892" t="inlineStr">
        <is>
          <t>Medium</t>
        </is>
      </c>
      <c r="F892" s="25">
        <f>VLOOKUP(E892,Assumptions!$A$5:$B$8,2,0)</f>
        <v/>
      </c>
    </row>
    <row r="893">
      <c r="A893" t="inlineStr">
        <is>
          <t>RetailBanking</t>
        </is>
      </c>
      <c r="B893" t="inlineStr">
        <is>
          <t>Alerts</t>
        </is>
      </c>
      <c r="C893" t="inlineStr">
        <is>
          <t>LargeValueAdvancesalert.aspx</t>
        </is>
      </c>
      <c r="D893" t="inlineStr">
        <is>
          <t>RetailBanking/Alerts/LargeValueAdvancesalert.aspx</t>
        </is>
      </c>
      <c r="E893" t="inlineStr">
        <is>
          <t>Medium</t>
        </is>
      </c>
      <c r="F893" s="25">
        <f>VLOOKUP(E893,Assumptions!$A$5:$B$8,2,0)</f>
        <v/>
      </c>
    </row>
    <row r="894">
      <c r="A894" t="inlineStr">
        <is>
          <t>RetailBanking</t>
        </is>
      </c>
      <c r="B894" t="inlineStr">
        <is>
          <t>Alerts</t>
        </is>
      </c>
      <c r="C894" t="inlineStr">
        <is>
          <t>LienFDMaturedAlert.aspx</t>
        </is>
      </c>
      <c r="D894" t="inlineStr">
        <is>
          <t>RetailBanking/Alerts/LienFDMaturedAlert.aspx</t>
        </is>
      </c>
      <c r="E894" t="inlineStr">
        <is>
          <t>Medium</t>
        </is>
      </c>
      <c r="F894" s="25">
        <f>VLOOKUP(E894,Assumptions!$A$5:$B$8,2,0)</f>
        <v/>
      </c>
    </row>
    <row r="895">
      <c r="A895" t="inlineStr">
        <is>
          <t>RetailBanking</t>
        </is>
      </c>
      <c r="B895" t="inlineStr">
        <is>
          <t>Alerts</t>
        </is>
      </c>
      <c r="C895" t="inlineStr">
        <is>
          <t>NpaProjection.aspx</t>
        </is>
      </c>
      <c r="D895" t="inlineStr">
        <is>
          <t>RetailBanking/Alerts/NpaProjection.aspx</t>
        </is>
      </c>
      <c r="E895" t="inlineStr">
        <is>
          <t>Medium</t>
        </is>
      </c>
      <c r="F895" s="25">
        <f>VLOOKUP(E895,Assumptions!$A$5:$B$8,2,0)</f>
        <v/>
      </c>
    </row>
    <row r="896">
      <c r="A896" t="inlineStr">
        <is>
          <t>RetailBanking</t>
        </is>
      </c>
      <c r="B896" t="inlineStr">
        <is>
          <t>Alerts</t>
        </is>
      </c>
      <c r="C896" t="inlineStr">
        <is>
          <t>PendingCKYCAlert.aspx</t>
        </is>
      </c>
      <c r="D896" t="inlineStr">
        <is>
          <t>RetailBanking/Alerts/PendingCKYCAlert.aspx</t>
        </is>
      </c>
      <c r="E896" t="inlineStr">
        <is>
          <t>Medium</t>
        </is>
      </c>
      <c r="F896" s="25">
        <f>VLOOKUP(E896,Assumptions!$A$5:$B$8,2,0)</f>
        <v/>
      </c>
    </row>
    <row r="897">
      <c r="A897" t="inlineStr">
        <is>
          <t>RetailBanking</t>
        </is>
      </c>
      <c r="B897" t="inlineStr">
        <is>
          <t>Alerts</t>
        </is>
      </c>
      <c r="C897" t="inlineStr">
        <is>
          <t>RiskCatByThreshold.aspx</t>
        </is>
      </c>
      <c r="D897" t="inlineStr">
        <is>
          <t>RetailBanking/Alerts/RiskCatByThreshold.aspx</t>
        </is>
      </c>
      <c r="E897" t="inlineStr">
        <is>
          <t>Medium</t>
        </is>
      </c>
      <c r="F897" s="25">
        <f>VLOOKUP(E897,Assumptions!$A$5:$B$8,2,0)</f>
        <v/>
      </c>
    </row>
    <row r="898">
      <c r="A898" t="inlineStr">
        <is>
          <t>RetailBanking</t>
        </is>
      </c>
      <c r="B898" t="inlineStr">
        <is>
          <t>Alerts</t>
        </is>
      </c>
      <c r="C898" t="inlineStr">
        <is>
          <t>SMAMarkingAlert.aspx</t>
        </is>
      </c>
      <c r="D898" t="inlineStr">
        <is>
          <t>RetailBanking/Alerts/SMAMarkingAlert.aspx</t>
        </is>
      </c>
      <c r="E898" t="inlineStr">
        <is>
          <t>Medium</t>
        </is>
      </c>
      <c r="F898" s="25">
        <f>VLOOKUP(E898,Assumptions!$A$5:$B$8,2,0)</f>
        <v/>
      </c>
    </row>
    <row r="899">
      <c r="A899" t="inlineStr">
        <is>
          <t>RetailBanking</t>
        </is>
      </c>
      <c r="B899" t="inlineStr">
        <is>
          <t>Alerts</t>
        </is>
      </c>
      <c r="C899" t="inlineStr">
        <is>
          <t>SeniorCitizen.aspx</t>
        </is>
      </c>
      <c r="D899" t="inlineStr">
        <is>
          <t>RetailBanking/Alerts/SeniorCitizen.aspx</t>
        </is>
      </c>
      <c r="E899" t="inlineStr">
        <is>
          <t>Medium</t>
        </is>
      </c>
      <c r="F899" s="25">
        <f>VLOOKUP(E899,Assumptions!$A$5:$B$8,2,0)</f>
        <v/>
      </c>
    </row>
    <row r="900">
      <c r="A900" t="inlineStr">
        <is>
          <t>RetailBanking</t>
        </is>
      </c>
      <c r="B900" t="inlineStr">
        <is>
          <t>Alerts</t>
        </is>
      </c>
      <c r="C900" t="inlineStr">
        <is>
          <t>SpecialInstruction.aspx</t>
        </is>
      </c>
      <c r="D900" t="inlineStr">
        <is>
          <t>RetailBanking/Alerts/SpecialInstruction.aspx</t>
        </is>
      </c>
      <c r="E900" t="inlineStr">
        <is>
          <t>Medium</t>
        </is>
      </c>
      <c r="F900" s="25">
        <f>VLOOKUP(E900,Assumptions!$A$5:$B$8,2,0)</f>
        <v/>
      </c>
    </row>
    <row r="901">
      <c r="A901" t="inlineStr">
        <is>
          <t>RetailBanking</t>
        </is>
      </c>
      <c r="B901" t="inlineStr">
        <is>
          <t>Alerts</t>
        </is>
      </c>
      <c r="C901" t="inlineStr">
        <is>
          <t>TODExpired.aspx</t>
        </is>
      </c>
      <c r="D901" t="inlineStr">
        <is>
          <t>RetailBanking/Alerts/TODExpired.aspx</t>
        </is>
      </c>
      <c r="E901" t="inlineStr">
        <is>
          <t>Medium</t>
        </is>
      </c>
      <c r="F901" s="25">
        <f>VLOOKUP(E901,Assumptions!$A$5:$B$8,2,0)</f>
        <v/>
      </c>
    </row>
    <row r="902">
      <c r="A902" t="inlineStr">
        <is>
          <t>RetailBanking</t>
        </is>
      </c>
      <c r="B902" t="inlineStr">
        <is>
          <t>Alerts</t>
        </is>
      </c>
      <c r="C902" t="inlineStr">
        <is>
          <t>TranInDormantAcc.aspx</t>
        </is>
      </c>
      <c r="D902" t="inlineStr">
        <is>
          <t>RetailBanking/Alerts/TranInDormantAcc.aspx</t>
        </is>
      </c>
      <c r="E902" t="inlineStr">
        <is>
          <t>Medium</t>
        </is>
      </c>
      <c r="F902" s="25">
        <f>VLOOKUP(E902,Assumptions!$A$5:$B$8,2,0)</f>
        <v/>
      </c>
    </row>
    <row r="903">
      <c r="A903" t="inlineStr">
        <is>
          <t>RetailBanking</t>
        </is>
      </c>
      <c r="B903" t="inlineStr">
        <is>
          <t>Alerts</t>
        </is>
      </c>
      <c r="C903" t="inlineStr">
        <is>
          <t>UnCrCCAccInDays.aspx</t>
        </is>
      </c>
      <c r="D903" t="inlineStr">
        <is>
          <t>RetailBanking/Alerts/UnCrCCAccInDays.aspx</t>
        </is>
      </c>
      <c r="E903" t="inlineStr">
        <is>
          <t>Medium</t>
        </is>
      </c>
      <c r="F903" s="25">
        <f>VLOOKUP(E903,Assumptions!$A$5:$B$8,2,0)</f>
        <v/>
      </c>
    </row>
    <row r="904">
      <c r="A904" t="inlineStr">
        <is>
          <t>RetailBanking</t>
        </is>
      </c>
      <c r="B904" t="inlineStr">
        <is>
          <t>Alerts</t>
        </is>
      </c>
      <c r="C904" t="inlineStr">
        <is>
          <t>al_MinorTurnMajor.aspx</t>
        </is>
      </c>
      <c r="D904" t="inlineStr">
        <is>
          <t>RetailBanking/Alerts/al_MinorTurnMajor.aspx</t>
        </is>
      </c>
      <c r="E904" t="inlineStr">
        <is>
          <t>Medium</t>
        </is>
      </c>
      <c r="F904" s="25">
        <f>VLOOKUP(E904,Assumptions!$A$5:$B$8,2,0)</f>
        <v/>
      </c>
    </row>
    <row r="905">
      <c r="A905" t="inlineStr">
        <is>
          <t>RetailBanking</t>
        </is>
      </c>
      <c r="B905" t="inlineStr">
        <is>
          <t>Alerts</t>
        </is>
      </c>
      <c r="C905" t="inlineStr">
        <is>
          <t>al_SuspiciousTranDet.aspx</t>
        </is>
      </c>
      <c r="D905" t="inlineStr">
        <is>
          <t>RetailBanking/Alerts/al_SuspiciousTranDet.aspx</t>
        </is>
      </c>
      <c r="E905" t="inlineStr">
        <is>
          <t>Medium</t>
        </is>
      </c>
      <c r="F905" s="25">
        <f>VLOOKUP(E905,Assumptions!$A$5:$B$8,2,0)</f>
        <v/>
      </c>
    </row>
    <row r="906">
      <c r="A906" t="inlineStr">
        <is>
          <t>RetailBanking</t>
        </is>
      </c>
      <c r="B906" t="inlineStr">
        <is>
          <t>Alerts</t>
        </is>
      </c>
      <c r="C906" t="inlineStr">
        <is>
          <t>rp_TargetMonthAlertV1.aspx</t>
        </is>
      </c>
      <c r="D906" t="inlineStr">
        <is>
          <t>RetailBanking/Alerts/rp_TargetMonthAlertV1.aspx</t>
        </is>
      </c>
      <c r="E906" t="inlineStr">
        <is>
          <t>Medium</t>
        </is>
      </c>
      <c r="F906" s="25">
        <f>VLOOKUP(E906,Assumptions!$A$5:$B$8,2,0)</f>
        <v/>
      </c>
    </row>
    <row r="907">
      <c r="A907" t="inlineStr">
        <is>
          <t>RetailBanking</t>
        </is>
      </c>
      <c r="B907" t="inlineStr"/>
      <c r="C907" t="inlineStr">
        <is>
          <t>AutoDayEndViewerPopup.aspx</t>
        </is>
      </c>
      <c r="D907" t="inlineStr">
        <is>
          <t>RetailBanking/AutoDayEndViewerPopup.aspx</t>
        </is>
      </c>
      <c r="E907" t="inlineStr">
        <is>
          <t>Medium</t>
        </is>
      </c>
      <c r="F907" s="25">
        <f>VLOOKUP(E907,Assumptions!$A$5:$B$8,2,0)</f>
        <v/>
      </c>
    </row>
    <row r="908">
      <c r="A908" t="inlineStr">
        <is>
          <t>RetailBanking</t>
        </is>
      </c>
      <c r="B908" t="inlineStr"/>
      <c r="C908" t="inlineStr">
        <is>
          <t>AutoDayendViewer.aspx</t>
        </is>
      </c>
      <c r="D908" t="inlineStr">
        <is>
          <t>RetailBanking/AutoDayendViewer.aspx</t>
        </is>
      </c>
      <c r="E908" t="inlineStr">
        <is>
          <t>Medium</t>
        </is>
      </c>
      <c r="F908" s="25">
        <f>VLOOKUP(E908,Assumptions!$A$5:$B$8,2,0)</f>
        <v/>
      </c>
    </row>
    <row r="909">
      <c r="A909" t="inlineStr">
        <is>
          <t>RetailBanking</t>
        </is>
      </c>
      <c r="B909" t="inlineStr">
        <is>
          <t>BG</t>
        </is>
      </c>
      <c r="C909" t="inlineStr">
        <is>
          <t>BG_Client.aspx</t>
        </is>
      </c>
      <c r="D909" t="inlineStr">
        <is>
          <t>RetailBanking/BG/BG_Client.aspx</t>
        </is>
      </c>
      <c r="E909" t="inlineStr">
        <is>
          <t>Medium</t>
        </is>
      </c>
      <c r="F909" s="25">
        <f>VLOOKUP(E909,Assumptions!$A$5:$B$8,2,0)</f>
        <v/>
      </c>
    </row>
    <row r="910">
      <c r="A910" t="inlineStr">
        <is>
          <t>RetailBanking</t>
        </is>
      </c>
      <c r="B910" t="inlineStr">
        <is>
          <t>BG</t>
        </is>
      </c>
      <c r="C910" t="inlineStr">
        <is>
          <t>BG_RevokeTran.aspx</t>
        </is>
      </c>
      <c r="D910" t="inlineStr">
        <is>
          <t>RetailBanking/BG/BG_RevokeTran.aspx</t>
        </is>
      </c>
      <c r="E910" t="inlineStr">
        <is>
          <t>Medium</t>
        </is>
      </c>
      <c r="F910" s="25">
        <f>VLOOKUP(E910,Assumptions!$A$5:$B$8,2,0)</f>
        <v/>
      </c>
    </row>
    <row r="911">
      <c r="A911" t="inlineStr">
        <is>
          <t>RetailBanking</t>
        </is>
      </c>
      <c r="B911" t="inlineStr">
        <is>
          <t>BG</t>
        </is>
      </c>
      <c r="C911" t="inlineStr">
        <is>
          <t>Bg_ClientRenewal.aspx</t>
        </is>
      </c>
      <c r="D911" t="inlineStr">
        <is>
          <t>RetailBanking/BG/Bg_ClientRenewal.aspx</t>
        </is>
      </c>
      <c r="E911" t="inlineStr">
        <is>
          <t>Medium</t>
        </is>
      </c>
      <c r="F911" s="25">
        <f>VLOOKUP(E911,Assumptions!$A$5:$B$8,2,0)</f>
        <v/>
      </c>
    </row>
    <row r="912">
      <c r="A912" t="inlineStr">
        <is>
          <t>RetailBanking</t>
        </is>
      </c>
      <c r="B912" t="inlineStr">
        <is>
          <t>BG</t>
        </is>
      </c>
      <c r="C912" t="inlineStr">
        <is>
          <t>Bg_FdLineInfo.aspx</t>
        </is>
      </c>
      <c r="D912" t="inlineStr">
        <is>
          <t>RetailBanking/BG/Bg_FdLineInfo.aspx</t>
        </is>
      </c>
      <c r="E912" t="inlineStr">
        <is>
          <t>Medium</t>
        </is>
      </c>
      <c r="F912" s="25">
        <f>VLOOKUP(E912,Assumptions!$A$5:$B$8,2,0)</f>
        <v/>
      </c>
    </row>
    <row r="913">
      <c r="A913" t="inlineStr">
        <is>
          <t>RetailBanking</t>
        </is>
      </c>
      <c r="B913" t="inlineStr">
        <is>
          <t>BG</t>
        </is>
      </c>
      <c r="C913" t="inlineStr">
        <is>
          <t>Bg_Issue.aspx</t>
        </is>
      </c>
      <c r="D913" t="inlineStr">
        <is>
          <t>RetailBanking/BG/Bg_Issue.aspx</t>
        </is>
      </c>
      <c r="E913" t="inlineStr">
        <is>
          <t>Medium</t>
        </is>
      </c>
      <c r="F913" s="25">
        <f>VLOOKUP(E913,Assumptions!$A$5:$B$8,2,0)</f>
        <v/>
      </c>
    </row>
    <row r="914">
      <c r="A914" t="inlineStr">
        <is>
          <t>RetailBanking</t>
        </is>
      </c>
      <c r="B914" t="inlineStr">
        <is>
          <t>BG</t>
        </is>
      </c>
      <c r="C914" t="inlineStr">
        <is>
          <t>Bg_IssueRenewalTran.aspx</t>
        </is>
      </c>
      <c r="D914" t="inlineStr">
        <is>
          <t>RetailBanking/BG/Bg_IssueRenewalTran.aspx</t>
        </is>
      </c>
      <c r="E914" t="inlineStr">
        <is>
          <t>Medium</t>
        </is>
      </c>
      <c r="F914" s="25">
        <f>VLOOKUP(E914,Assumptions!$A$5:$B$8,2,0)</f>
        <v/>
      </c>
    </row>
    <row r="915">
      <c r="A915" t="inlineStr">
        <is>
          <t>RetailBanking</t>
        </is>
      </c>
      <c r="B915" t="inlineStr">
        <is>
          <t>BG</t>
        </is>
      </c>
      <c r="C915" t="inlineStr">
        <is>
          <t>Bg_LienNotationRelease.aspx</t>
        </is>
      </c>
      <c r="D915" t="inlineStr">
        <is>
          <t>RetailBanking/BG/Bg_LienNotationRelease.aspx</t>
        </is>
      </c>
      <c r="E915" t="inlineStr">
        <is>
          <t>Medium</t>
        </is>
      </c>
      <c r="F915" s="25">
        <f>VLOOKUP(E915,Assumptions!$A$5:$B$8,2,0)</f>
        <v/>
      </c>
    </row>
    <row r="916">
      <c r="A916" t="inlineStr">
        <is>
          <t>RetailBanking</t>
        </is>
      </c>
      <c r="B916" t="inlineStr">
        <is>
          <t>BG</t>
        </is>
      </c>
      <c r="C916" t="inlineStr">
        <is>
          <t>bgClose.aspx</t>
        </is>
      </c>
      <c r="D916" t="inlineStr">
        <is>
          <t>RetailBanking/BG/bgClose.aspx</t>
        </is>
      </c>
      <c r="E916" t="inlineStr">
        <is>
          <t>Medium</t>
        </is>
      </c>
      <c r="F916" s="25">
        <f>VLOOKUP(E916,Assumptions!$A$5:$B$8,2,0)</f>
        <v/>
      </c>
    </row>
    <row r="917">
      <c r="A917" t="inlineStr">
        <is>
          <t>RetailBanking</t>
        </is>
      </c>
      <c r="B917" t="inlineStr"/>
      <c r="C917" t="inlineStr">
        <is>
          <t>B_TerroristGroupNew.aspx</t>
        </is>
      </c>
      <c r="D917" t="inlineStr">
        <is>
          <t>RetailBanking/B_TerroristGroupNew.aspx</t>
        </is>
      </c>
      <c r="E917" t="inlineStr">
        <is>
          <t>Medium</t>
        </is>
      </c>
      <c r="F917" s="25">
        <f>VLOOKUP(E917,Assumptions!$A$5:$B$8,2,0)</f>
        <v/>
      </c>
    </row>
    <row r="918">
      <c r="A918" t="inlineStr">
        <is>
          <t>RetailBanking</t>
        </is>
      </c>
      <c r="B918" t="inlineStr">
        <is>
          <t>BillCollection</t>
        </is>
      </c>
      <c r="C918" t="inlineStr">
        <is>
          <t>x_BillPurchase.aspx</t>
        </is>
      </c>
      <c r="D918" t="inlineStr">
        <is>
          <t>RetailBanking/BillCollection/x_BillPurchase.aspx</t>
        </is>
      </c>
      <c r="E918" t="inlineStr">
        <is>
          <t>Medium</t>
        </is>
      </c>
      <c r="F918" s="25">
        <f>VLOOKUP(E918,Assumptions!$A$5:$B$8,2,0)</f>
        <v/>
      </c>
    </row>
    <row r="919">
      <c r="A919" t="inlineStr">
        <is>
          <t>RetailBanking</t>
        </is>
      </c>
      <c r="B919" t="inlineStr">
        <is>
          <t>BillCollection</t>
        </is>
      </c>
      <c r="C919" t="inlineStr">
        <is>
          <t>x_billCollection.aspx</t>
        </is>
      </c>
      <c r="D919" t="inlineStr">
        <is>
          <t>RetailBanking/BillCollection/x_billCollection.aspx</t>
        </is>
      </c>
      <c r="E919" t="inlineStr">
        <is>
          <t>Medium</t>
        </is>
      </c>
      <c r="F919" s="25">
        <f>VLOOKUP(E919,Assumptions!$A$5:$B$8,2,0)</f>
        <v/>
      </c>
    </row>
    <row r="920">
      <c r="A920" t="inlineStr">
        <is>
          <t>RetailBanking</t>
        </is>
      </c>
      <c r="B920" t="inlineStr"/>
      <c r="C920" t="inlineStr">
        <is>
          <t>BookBalRunStatuspopup.aspx</t>
        </is>
      </c>
      <c r="D920" t="inlineStr">
        <is>
          <t>RetailBanking/BookBalRunStatuspopup.aspx</t>
        </is>
      </c>
      <c r="E920" t="inlineStr">
        <is>
          <t>Medium</t>
        </is>
      </c>
      <c r="F920" s="25">
        <f>VLOOKUP(E920,Assumptions!$A$5:$B$8,2,0)</f>
        <v/>
      </c>
    </row>
    <row r="921">
      <c r="A921" t="inlineStr">
        <is>
          <t>RetailBanking</t>
        </is>
      </c>
      <c r="B921" t="inlineStr"/>
      <c r="C921" t="inlineStr">
        <is>
          <t>BookBalanceCertificateReportV1.aspx</t>
        </is>
      </c>
      <c r="D921" t="inlineStr">
        <is>
          <t>RetailBanking/BookBalanceCertificateReportV1.aspx</t>
        </is>
      </c>
      <c r="E921" t="inlineStr">
        <is>
          <t>Report</t>
        </is>
      </c>
      <c r="F921" s="25">
        <f>VLOOKUP(E921,Assumptions!$A$5:$B$8,2,0)</f>
        <v/>
      </c>
    </row>
    <row r="922">
      <c r="A922" t="inlineStr">
        <is>
          <t>RetailBanking</t>
        </is>
      </c>
      <c r="B922" t="inlineStr"/>
      <c r="C922" t="inlineStr">
        <is>
          <t>BookBalanceCheckerJS.aspx</t>
        </is>
      </c>
      <c r="D922" t="inlineStr">
        <is>
          <t>RetailBanking/BookBalanceCheckerJS.aspx</t>
        </is>
      </c>
      <c r="E922" t="inlineStr">
        <is>
          <t>Medium</t>
        </is>
      </c>
      <c r="F922" s="25">
        <f>VLOOKUP(E922,Assumptions!$A$5:$B$8,2,0)</f>
        <v/>
      </c>
    </row>
    <row r="923">
      <c r="A923" t="inlineStr">
        <is>
          <t>RetailBanking</t>
        </is>
      </c>
      <c r="B923" t="inlineStr">
        <is>
          <t>CBDT</t>
        </is>
      </c>
      <c r="C923" t="inlineStr">
        <is>
          <t>cbdt.aspx</t>
        </is>
      </c>
      <c r="D923" t="inlineStr">
        <is>
          <t>RetailBanking/CBDT/cbdt.aspx</t>
        </is>
      </c>
      <c r="E923" t="inlineStr">
        <is>
          <t>Medium</t>
        </is>
      </c>
      <c r="F923" s="25">
        <f>VLOOKUP(E923,Assumptions!$A$5:$B$8,2,0)</f>
        <v/>
      </c>
    </row>
    <row r="924">
      <c r="A924" t="inlineStr">
        <is>
          <t>RetailBanking</t>
        </is>
      </c>
      <c r="B924" t="inlineStr">
        <is>
          <t>Cash</t>
        </is>
      </c>
      <c r="C924" t="inlineStr">
        <is>
          <t>ExchangeDenomination.aspx</t>
        </is>
      </c>
      <c r="D924" t="inlineStr">
        <is>
          <t>RetailBanking/Cash/ExchangeDenomination.aspx</t>
        </is>
      </c>
      <c r="E924" t="inlineStr">
        <is>
          <t>Medium</t>
        </is>
      </c>
      <c r="F924" s="25">
        <f>VLOOKUP(E924,Assumptions!$A$5:$B$8,2,0)</f>
        <v/>
      </c>
    </row>
    <row r="925">
      <c r="A925" t="inlineStr">
        <is>
          <t>RetailBanking</t>
        </is>
      </c>
      <c r="B925" t="inlineStr">
        <is>
          <t>Cash</t>
        </is>
      </c>
      <c r="C925" t="inlineStr">
        <is>
          <t>b_CashRemitLimit.aspx</t>
        </is>
      </c>
      <c r="D925" t="inlineStr">
        <is>
          <t>RetailBanking/Cash/b_CashRemitLimit.aspx</t>
        </is>
      </c>
      <c r="E925" t="inlineStr">
        <is>
          <t>Medium</t>
        </is>
      </c>
      <c r="F925" s="25">
        <f>VLOOKUP(E925,Assumptions!$A$5:$B$8,2,0)</f>
        <v/>
      </c>
    </row>
    <row r="926">
      <c r="A926" t="inlineStr">
        <is>
          <t>RetailBanking</t>
        </is>
      </c>
      <c r="B926" t="inlineStr">
        <is>
          <t>Cash</t>
        </is>
      </c>
      <c r="C926" t="inlineStr">
        <is>
          <t>b_HeadCashierMap.aspx</t>
        </is>
      </c>
      <c r="D926" t="inlineStr">
        <is>
          <t>RetailBanking/Cash/b_HeadCashierMap.aspx</t>
        </is>
      </c>
      <c r="E926" t="inlineStr">
        <is>
          <t>Medium</t>
        </is>
      </c>
      <c r="F926" s="25">
        <f>VLOOKUP(E926,Assumptions!$A$5:$B$8,2,0)</f>
        <v/>
      </c>
    </row>
    <row r="927">
      <c r="A927" t="inlineStr">
        <is>
          <t>RetailBanking</t>
        </is>
      </c>
      <c r="B927" t="inlineStr">
        <is>
          <t>Cash</t>
        </is>
      </c>
      <c r="C927" t="inlineStr">
        <is>
          <t>x_CashierScroll.aspx</t>
        </is>
      </c>
      <c r="D927" t="inlineStr">
        <is>
          <t>RetailBanking/Cash/x_CashierScroll.aspx</t>
        </is>
      </c>
      <c r="E927" t="inlineStr">
        <is>
          <t>Medium</t>
        </is>
      </c>
      <c r="F927" s="25">
        <f>VLOOKUP(E927,Assumptions!$A$5:$B$8,2,0)</f>
        <v/>
      </c>
    </row>
    <row r="928">
      <c r="A928" t="inlineStr">
        <is>
          <t>RetailBanking</t>
        </is>
      </c>
      <c r="B928" t="inlineStr">
        <is>
          <t>Cash</t>
        </is>
      </c>
      <c r="C928" t="inlineStr">
        <is>
          <t>x_ChestCashierLedger.aspx</t>
        </is>
      </c>
      <c r="D928" t="inlineStr">
        <is>
          <t>RetailBanking/Cash/x_ChestCashierLedger.aspx</t>
        </is>
      </c>
      <c r="E928" t="inlineStr">
        <is>
          <t>Medium</t>
        </is>
      </c>
      <c r="F928" s="25">
        <f>VLOOKUP(E928,Assumptions!$A$5:$B$8,2,0)</f>
        <v/>
      </c>
    </row>
    <row r="929">
      <c r="A929" t="inlineStr">
        <is>
          <t>RetailBanking</t>
        </is>
      </c>
      <c r="B929" t="inlineStr">
        <is>
          <t>Cash</t>
        </is>
      </c>
      <c r="C929" t="inlineStr">
        <is>
          <t>x_ChestCashierToCashierLedger.aspx</t>
        </is>
      </c>
      <c r="D929" t="inlineStr">
        <is>
          <t>RetailBanking/Cash/x_ChestCashierToCashierLedger.aspx</t>
        </is>
      </c>
      <c r="E929" t="inlineStr">
        <is>
          <t>Medium</t>
        </is>
      </c>
      <c r="F929" s="25">
        <f>VLOOKUP(E929,Assumptions!$A$5:$B$8,2,0)</f>
        <v/>
      </c>
    </row>
    <row r="930">
      <c r="A930" t="inlineStr">
        <is>
          <t>RetailBanking</t>
        </is>
      </c>
      <c r="B930" t="inlineStr">
        <is>
          <t>Cash</t>
        </is>
      </c>
      <c r="C930" t="inlineStr">
        <is>
          <t>x_ChestOpening.aspx</t>
        </is>
      </c>
      <c r="D930" t="inlineStr">
        <is>
          <t>RetailBanking/Cash/x_ChestOpening.aspx</t>
        </is>
      </c>
      <c r="E930" t="inlineStr">
        <is>
          <t>Medium</t>
        </is>
      </c>
      <c r="F930" s="25">
        <f>VLOOKUP(E930,Assumptions!$A$5:$B$8,2,0)</f>
        <v/>
      </c>
    </row>
    <row r="931">
      <c r="A931" t="inlineStr">
        <is>
          <t>RetailBanking</t>
        </is>
      </c>
      <c r="B931" t="inlineStr">
        <is>
          <t>Cash</t>
        </is>
      </c>
      <c r="C931" t="inlineStr">
        <is>
          <t>x_Denomination.aspx</t>
        </is>
      </c>
      <c r="D931" t="inlineStr">
        <is>
          <t>RetailBanking/Cash/x_Denomination.aspx</t>
        </is>
      </c>
      <c r="E931" t="inlineStr">
        <is>
          <t>Medium</t>
        </is>
      </c>
      <c r="F931" s="25">
        <f>VLOOKUP(E931,Assumptions!$A$5:$B$8,2,0)</f>
        <v/>
      </c>
    </row>
    <row r="932">
      <c r="A932" t="inlineStr">
        <is>
          <t>RetailBanking</t>
        </is>
      </c>
      <c r="B932" t="inlineStr">
        <is>
          <t>Cash</t>
        </is>
      </c>
      <c r="C932" t="inlineStr">
        <is>
          <t>x_DenominationUnit.aspx</t>
        </is>
      </c>
      <c r="D932" t="inlineStr">
        <is>
          <t>RetailBanking/Cash/x_DenominationUnit.aspx</t>
        </is>
      </c>
      <c r="E932" t="inlineStr">
        <is>
          <t>Medium</t>
        </is>
      </c>
      <c r="F932" s="25">
        <f>VLOOKUP(E932,Assumptions!$A$5:$B$8,2,0)</f>
        <v/>
      </c>
    </row>
    <row r="933">
      <c r="A933" t="inlineStr">
        <is>
          <t>RetailBanking</t>
        </is>
      </c>
      <c r="B933" t="inlineStr">
        <is>
          <t>CersaiMortgage</t>
        </is>
      </c>
      <c r="C933" t="inlineStr">
        <is>
          <t>c_CersaiMortgage.aspx</t>
        </is>
      </c>
      <c r="D933" t="inlineStr">
        <is>
          <t>RetailBanking/CersaiMortgage/c_CersaiMortgage.aspx</t>
        </is>
      </c>
      <c r="E933" t="inlineStr">
        <is>
          <t>Medium</t>
        </is>
      </c>
      <c r="F933" s="25">
        <f>VLOOKUP(E933,Assumptions!$A$5:$B$8,2,0)</f>
        <v/>
      </c>
    </row>
    <row r="934">
      <c r="A934" t="inlineStr">
        <is>
          <t>RetailBanking</t>
        </is>
      </c>
      <c r="B934" t="inlineStr"/>
      <c r="C934" t="inlineStr">
        <is>
          <t>ChangeClientType.aspx</t>
        </is>
      </c>
      <c r="D934" t="inlineStr">
        <is>
          <t>RetailBanking/ChangeClientType.aspx</t>
        </is>
      </c>
      <c r="E934" t="inlineStr">
        <is>
          <t>Medium</t>
        </is>
      </c>
      <c r="F934" s="25">
        <f>VLOOKUP(E934,Assumptions!$A$5:$B$8,2,0)</f>
        <v/>
      </c>
    </row>
    <row r="935">
      <c r="A935" t="inlineStr">
        <is>
          <t>RetailBanking</t>
        </is>
      </c>
      <c r="B935" t="inlineStr"/>
      <c r="C935" t="inlineStr">
        <is>
          <t>ChequeBookDetPopUp.aspx</t>
        </is>
      </c>
      <c r="D935" t="inlineStr">
        <is>
          <t>RetailBanking/ChequeBookDetPopUp.aspx</t>
        </is>
      </c>
      <c r="E935" t="inlineStr">
        <is>
          <t>Medium</t>
        </is>
      </c>
      <c r="F935" s="25">
        <f>VLOOKUP(E935,Assumptions!$A$5:$B$8,2,0)</f>
        <v/>
      </c>
    </row>
    <row r="936">
      <c r="A936" t="inlineStr">
        <is>
          <t>RetailBanking</t>
        </is>
      </c>
      <c r="B936" t="inlineStr"/>
      <c r="C936" t="inlineStr">
        <is>
          <t>ChequeBookReturn.aspx</t>
        </is>
      </c>
      <c r="D936" t="inlineStr">
        <is>
          <t>RetailBanking/ChequeBookReturn.aspx</t>
        </is>
      </c>
      <c r="E936" t="inlineStr">
        <is>
          <t>Medium</t>
        </is>
      </c>
      <c r="F936" s="25">
        <f>VLOOKUP(E936,Assumptions!$A$5:$B$8,2,0)</f>
        <v/>
      </c>
    </row>
    <row r="937">
      <c r="A937" t="inlineStr">
        <is>
          <t>RetailBanking</t>
        </is>
      </c>
      <c r="B937" t="inlineStr">
        <is>
          <t>Clearing</t>
        </is>
      </c>
      <c r="C937" t="inlineStr">
        <is>
          <t>AccountDialog.aspx</t>
        </is>
      </c>
      <c r="D937" t="inlineStr">
        <is>
          <t>RetailBanking/Clearing/AccountDialog.aspx</t>
        </is>
      </c>
      <c r="E937" t="inlineStr">
        <is>
          <t>Medium</t>
        </is>
      </c>
      <c r="F937" s="25">
        <f>VLOOKUP(E937,Assumptions!$A$5:$B$8,2,0)</f>
        <v/>
      </c>
    </row>
    <row r="938">
      <c r="A938" t="inlineStr">
        <is>
          <t>RetailBanking</t>
        </is>
      </c>
      <c r="B938" t="inlineStr">
        <is>
          <t>Clearing</t>
        </is>
      </c>
      <c r="C938" t="inlineStr">
        <is>
          <t>CTSCentralizeLotUpdate.aspx</t>
        </is>
      </c>
      <c r="D938" t="inlineStr">
        <is>
          <t>RetailBanking/Clearing/CTSCentralizeLotUpdate.aspx</t>
        </is>
      </c>
      <c r="E938" t="inlineStr">
        <is>
          <t>Medium</t>
        </is>
      </c>
      <c r="F938" s="25">
        <f>VLOOKUP(E938,Assumptions!$A$5:$B$8,2,0)</f>
        <v/>
      </c>
    </row>
    <row r="939">
      <c r="A939" t="inlineStr">
        <is>
          <t>RetailBanking</t>
        </is>
      </c>
      <c r="B939" t="inlineStr">
        <is>
          <t>Clearing</t>
        </is>
      </c>
      <c r="C939" t="inlineStr">
        <is>
          <t>CTSChequeShifting.aspx</t>
        </is>
      </c>
      <c r="D939" t="inlineStr">
        <is>
          <t>RetailBanking/Clearing/CTSChequeShifting.aspx</t>
        </is>
      </c>
      <c r="E939" t="inlineStr">
        <is>
          <t>Medium</t>
        </is>
      </c>
      <c r="F939" s="25">
        <f>VLOOKUP(E939,Assumptions!$A$5:$B$8,2,0)</f>
        <v/>
      </c>
    </row>
    <row r="940">
      <c r="A940" t="inlineStr">
        <is>
          <t>RetailBanking</t>
        </is>
      </c>
      <c r="B940" t="inlineStr">
        <is>
          <t>Clearing</t>
        </is>
      </c>
      <c r="C940" t="inlineStr">
        <is>
          <t>CTSClearingLotExport.aspx</t>
        </is>
      </c>
      <c r="D940" t="inlineStr">
        <is>
          <t>RetailBanking/Clearing/CTSClearingLotExport.aspx</t>
        </is>
      </c>
      <c r="E940" t="inlineStr">
        <is>
          <t>Medium</t>
        </is>
      </c>
      <c r="F940" s="25">
        <f>VLOOKUP(E940,Assumptions!$A$5:$B$8,2,0)</f>
        <v/>
      </c>
    </row>
    <row r="941">
      <c r="A941" t="inlineStr">
        <is>
          <t>RetailBanking</t>
        </is>
      </c>
      <c r="B941" t="inlineStr">
        <is>
          <t>Clearing</t>
        </is>
      </c>
      <c r="C941" t="inlineStr">
        <is>
          <t>CTSInwardReturn.aspx</t>
        </is>
      </c>
      <c r="D941" t="inlineStr">
        <is>
          <t>RetailBanking/Clearing/CTSInwardReturn.aspx</t>
        </is>
      </c>
      <c r="E941" t="inlineStr">
        <is>
          <t>Medium</t>
        </is>
      </c>
      <c r="F941" s="25">
        <f>VLOOKUP(E941,Assumptions!$A$5:$B$8,2,0)</f>
        <v/>
      </c>
    </row>
    <row r="942">
      <c r="A942" t="inlineStr">
        <is>
          <t>RetailBanking</t>
        </is>
      </c>
      <c r="B942" t="inlineStr">
        <is>
          <t>Clearing</t>
        </is>
      </c>
      <c r="C942" t="inlineStr">
        <is>
          <t>CTS_HdfcHubVendor.aspx</t>
        </is>
      </c>
      <c r="D942" t="inlineStr">
        <is>
          <t>RetailBanking/Clearing/CTS_HdfcHubVendor.aspx</t>
        </is>
      </c>
      <c r="E942" t="inlineStr">
        <is>
          <t>Medium</t>
        </is>
      </c>
      <c r="F942" s="25">
        <f>VLOOKUP(E942,Assumptions!$A$5:$B$8,2,0)</f>
        <v/>
      </c>
    </row>
    <row r="943">
      <c r="A943" t="inlineStr">
        <is>
          <t>RetailBanking</t>
        </is>
      </c>
      <c r="B943" t="inlineStr">
        <is>
          <t>Clearing</t>
        </is>
      </c>
      <c r="C943" t="inlineStr">
        <is>
          <t>CTS_OWClearingReturnMark.aspx</t>
        </is>
      </c>
      <c r="D943" t="inlineStr">
        <is>
          <t>RetailBanking/Clearing/CTS_OWClearingReturnMark.aspx</t>
        </is>
      </c>
      <c r="E943" t="inlineStr">
        <is>
          <t>Medium</t>
        </is>
      </c>
      <c r="F943" s="25">
        <f>VLOOKUP(E943,Assumptions!$A$5:$B$8,2,0)</f>
        <v/>
      </c>
    </row>
    <row r="944">
      <c r="A944" t="inlineStr">
        <is>
          <t>RetailBanking</t>
        </is>
      </c>
      <c r="B944" t="inlineStr">
        <is>
          <t>Clearing</t>
        </is>
      </c>
      <c r="C944" t="inlineStr">
        <is>
          <t>CTS_PositiveFinalRespImport.aspx</t>
        </is>
      </c>
      <c r="D944" t="inlineStr">
        <is>
          <t>RetailBanking/Clearing/CTS_PositiveFinalRespImport.aspx</t>
        </is>
      </c>
      <c r="E944" t="inlineStr">
        <is>
          <t>Medium</t>
        </is>
      </c>
      <c r="F944" s="25">
        <f>VLOOKUP(E944,Assumptions!$A$5:$B$8,2,0)</f>
        <v/>
      </c>
    </row>
    <row r="945">
      <c r="A945" t="inlineStr">
        <is>
          <t>RetailBanking</t>
        </is>
      </c>
      <c r="B945" t="inlineStr">
        <is>
          <t>Clearing</t>
        </is>
      </c>
      <c r="C945" t="inlineStr">
        <is>
          <t>CTS_PositivePayEntries.aspx</t>
        </is>
      </c>
      <c r="D945" t="inlineStr">
        <is>
          <t>RetailBanking/Clearing/CTS_PositivePayEntries.aspx</t>
        </is>
      </c>
      <c r="E945" t="inlineStr">
        <is>
          <t>Medium</t>
        </is>
      </c>
      <c r="F945" s="25">
        <f>VLOOKUP(E945,Assumptions!$A$5:$B$8,2,0)</f>
        <v/>
      </c>
    </row>
    <row r="946">
      <c r="A946" t="inlineStr">
        <is>
          <t>RetailBanking</t>
        </is>
      </c>
      <c r="B946" t="inlineStr">
        <is>
          <t>Clearing</t>
        </is>
      </c>
      <c r="C946" t="inlineStr">
        <is>
          <t>CTS_PositivePayExport.aspx</t>
        </is>
      </c>
      <c r="D946" t="inlineStr">
        <is>
          <t>RetailBanking/Clearing/CTS_PositivePayExport.aspx</t>
        </is>
      </c>
      <c r="E946" t="inlineStr">
        <is>
          <t>Medium</t>
        </is>
      </c>
      <c r="F946" s="25">
        <f>VLOOKUP(E946,Assumptions!$A$5:$B$8,2,0)</f>
        <v/>
      </c>
    </row>
    <row r="947">
      <c r="A947" t="inlineStr">
        <is>
          <t>RetailBanking</t>
        </is>
      </c>
      <c r="B947" t="inlineStr">
        <is>
          <t>Clearing</t>
        </is>
      </c>
      <c r="C947" t="inlineStr">
        <is>
          <t>CTS_PositiveRespRead.aspx</t>
        </is>
      </c>
      <c r="D947" t="inlineStr">
        <is>
          <t>RetailBanking/Clearing/CTS_PositiveRespRead.aspx</t>
        </is>
      </c>
      <c r="E947" t="inlineStr">
        <is>
          <t>Medium</t>
        </is>
      </c>
      <c r="F947" s="25">
        <f>VLOOKUP(E947,Assumptions!$A$5:$B$8,2,0)</f>
        <v/>
      </c>
    </row>
    <row r="948">
      <c r="A948" t="inlineStr">
        <is>
          <t>RetailBanking</t>
        </is>
      </c>
      <c r="B948" t="inlineStr">
        <is>
          <t>Clearing</t>
        </is>
      </c>
      <c r="C948" t="inlineStr">
        <is>
          <t>ClearingLotExport.aspx</t>
        </is>
      </c>
      <c r="D948" t="inlineStr">
        <is>
          <t>RetailBanking/Clearing/ClearingLotExport.aspx</t>
        </is>
      </c>
      <c r="E948" t="inlineStr">
        <is>
          <t>Medium</t>
        </is>
      </c>
      <c r="F948" s="25">
        <f>VLOOKUP(E948,Assumptions!$A$5:$B$8,2,0)</f>
        <v/>
      </c>
    </row>
    <row r="949">
      <c r="A949" t="inlineStr">
        <is>
          <t>RetailBanking</t>
        </is>
      </c>
      <c r="B949" t="inlineStr">
        <is>
          <t>Clearing</t>
        </is>
      </c>
      <c r="C949" t="inlineStr">
        <is>
          <t>Cts_OWDFileResp.aspx</t>
        </is>
      </c>
      <c r="D949" t="inlineStr">
        <is>
          <t>RetailBanking/Clearing/Cts_OWDFileResp.aspx</t>
        </is>
      </c>
      <c r="E949" t="inlineStr">
        <is>
          <t>Medium</t>
        </is>
      </c>
      <c r="F949" s="25">
        <f>VLOOKUP(E949,Assumptions!$A$5:$B$8,2,0)</f>
        <v/>
      </c>
    </row>
    <row r="950">
      <c r="A950" t="inlineStr">
        <is>
          <t>RetailBanking</t>
        </is>
      </c>
      <c r="B950" t="inlineStr">
        <is>
          <t>Clearing</t>
        </is>
      </c>
      <c r="C950" t="inlineStr">
        <is>
          <t>DeCntrLotExport.aspx</t>
        </is>
      </c>
      <c r="D950" t="inlineStr">
        <is>
          <t>RetailBanking/Clearing/DeCntrLotExport.aspx</t>
        </is>
      </c>
      <c r="E950" t="inlineStr">
        <is>
          <t>Medium</t>
        </is>
      </c>
      <c r="F950" s="25">
        <f>VLOOKUP(E950,Assumptions!$A$5:$B$8,2,0)</f>
        <v/>
      </c>
    </row>
    <row r="951">
      <c r="A951" t="inlineStr">
        <is>
          <t>RetailBanking</t>
        </is>
      </c>
      <c r="B951" t="inlineStr">
        <is>
          <t>Clearing</t>
        </is>
      </c>
      <c r="C951" t="inlineStr">
        <is>
          <t>InwardStatusRevert.aspx</t>
        </is>
      </c>
      <c r="D951" t="inlineStr">
        <is>
          <t>RetailBanking/Clearing/InwardStatusRevert.aspx</t>
        </is>
      </c>
      <c r="E951" t="inlineStr">
        <is>
          <t>Medium</t>
        </is>
      </c>
      <c r="F951" s="25">
        <f>VLOOKUP(E951,Assumptions!$A$5:$B$8,2,0)</f>
        <v/>
      </c>
    </row>
    <row r="952">
      <c r="A952" t="inlineStr">
        <is>
          <t>RetailBanking</t>
        </is>
      </c>
      <c r="B952" t="inlineStr">
        <is>
          <t>Clearing</t>
        </is>
      </c>
      <c r="C952" t="inlineStr">
        <is>
          <t>OWDFileRespStat.aspx</t>
        </is>
      </c>
      <c r="D952" t="inlineStr">
        <is>
          <t>RetailBanking/Clearing/OWDFileRespStat.aspx</t>
        </is>
      </c>
      <c r="E952" t="inlineStr">
        <is>
          <t>Medium</t>
        </is>
      </c>
      <c r="F952" s="25">
        <f>VLOOKUP(E952,Assumptions!$A$5:$B$8,2,0)</f>
        <v/>
      </c>
    </row>
    <row r="953">
      <c r="A953" t="inlineStr">
        <is>
          <t>RetailBanking</t>
        </is>
      </c>
      <c r="B953" t="inlineStr">
        <is>
          <t>Clearing</t>
        </is>
      </c>
      <c r="C953" t="inlineStr">
        <is>
          <t>OWDFileRespStatRejectRecord.aspx</t>
        </is>
      </c>
      <c r="D953" t="inlineStr">
        <is>
          <t>RetailBanking/Clearing/OWDFileRespStatRejectRecord.aspx</t>
        </is>
      </c>
      <c r="E953" t="inlineStr">
        <is>
          <t>Medium</t>
        </is>
      </c>
      <c r="F953" s="25">
        <f>VLOOKUP(E953,Assumptions!$A$5:$B$8,2,0)</f>
        <v/>
      </c>
    </row>
    <row r="954">
      <c r="A954" t="inlineStr">
        <is>
          <t>RetailBanking</t>
        </is>
      </c>
      <c r="B954" t="inlineStr">
        <is>
          <t>Clearing</t>
        </is>
      </c>
      <c r="C954" t="inlineStr">
        <is>
          <t>OWDFileRespStatRejectRecordDetails.aspx</t>
        </is>
      </c>
      <c r="D954" t="inlineStr">
        <is>
          <t>RetailBanking/Clearing/OWDFileRespStatRejectRecordDetails.aspx</t>
        </is>
      </c>
      <c r="E954" t="inlineStr">
        <is>
          <t>Medium</t>
        </is>
      </c>
      <c r="F954" s="25">
        <f>VLOOKUP(E954,Assumptions!$A$5:$B$8,2,0)</f>
        <v/>
      </c>
    </row>
    <row r="955">
      <c r="A955" t="inlineStr">
        <is>
          <t>RetailBanking</t>
        </is>
      </c>
      <c r="B955" t="inlineStr">
        <is>
          <t>Clearing</t>
        </is>
      </c>
      <c r="C955" t="inlineStr">
        <is>
          <t>OWLotHoldMarking.aspx</t>
        </is>
      </c>
      <c r="D955" t="inlineStr">
        <is>
          <t>RetailBanking/Clearing/OWLotHoldMarking.aspx</t>
        </is>
      </c>
      <c r="E955" t="inlineStr">
        <is>
          <t>Medium</t>
        </is>
      </c>
      <c r="F955" s="25">
        <f>VLOOKUP(E955,Assumptions!$A$5:$B$8,2,0)</f>
        <v/>
      </c>
    </row>
    <row r="956">
      <c r="A956" t="inlineStr">
        <is>
          <t>RetailBanking</t>
        </is>
      </c>
      <c r="B956" t="inlineStr">
        <is>
          <t>Clearing</t>
        </is>
      </c>
      <c r="C956" t="inlineStr">
        <is>
          <t>OutwardClgTransactionUpdate.aspx</t>
        </is>
      </c>
      <c r="D956" t="inlineStr">
        <is>
          <t>RetailBanking/Clearing/OutwardClgTransactionUpdate.aspx</t>
        </is>
      </c>
      <c r="E956" t="inlineStr">
        <is>
          <t>Complex</t>
        </is>
      </c>
      <c r="F956" s="25">
        <f>VLOOKUP(E956,Assumptions!$A$5:$B$8,2,0)</f>
        <v/>
      </c>
    </row>
    <row r="957">
      <c r="A957" t="inlineStr">
        <is>
          <t>RetailBanking</t>
        </is>
      </c>
      <c r="B957" t="inlineStr">
        <is>
          <t>Clearing</t>
        </is>
      </c>
      <c r="C957" t="inlineStr">
        <is>
          <t>OwClgClearRetMarking.aspx</t>
        </is>
      </c>
      <c r="D957" t="inlineStr">
        <is>
          <t>RetailBanking/Clearing/OwClgClearRetMarking.aspx</t>
        </is>
      </c>
      <c r="E957" t="inlineStr">
        <is>
          <t>Medium</t>
        </is>
      </c>
      <c r="F957" s="25">
        <f>VLOOKUP(E957,Assumptions!$A$5:$B$8,2,0)</f>
        <v/>
      </c>
    </row>
    <row r="958">
      <c r="A958" t="inlineStr">
        <is>
          <t>RetailBanking</t>
        </is>
      </c>
      <c r="B958" t="inlineStr">
        <is>
          <t>Clearing</t>
        </is>
      </c>
      <c r="C958" t="inlineStr">
        <is>
          <t>PopupReasonCode.aspx</t>
        </is>
      </c>
      <c r="D958" t="inlineStr">
        <is>
          <t>RetailBanking/Clearing/PopupReasonCode.aspx</t>
        </is>
      </c>
      <c r="E958" t="inlineStr">
        <is>
          <t>Medium</t>
        </is>
      </c>
      <c r="F958" s="25">
        <f>VLOOKUP(E958,Assumptions!$A$5:$B$8,2,0)</f>
        <v/>
      </c>
    </row>
    <row r="959">
      <c r="A959" t="inlineStr">
        <is>
          <t>RetailBanking</t>
        </is>
      </c>
      <c r="B959" t="inlineStr">
        <is>
          <t>Clearing</t>
        </is>
      </c>
      <c r="C959" t="inlineStr">
        <is>
          <t>ShowChequeDetails.aspx</t>
        </is>
      </c>
      <c r="D959" t="inlineStr">
        <is>
          <t>RetailBanking/Clearing/ShowChequeDetails.aspx</t>
        </is>
      </c>
      <c r="E959" t="inlineStr">
        <is>
          <t>Medium</t>
        </is>
      </c>
      <c r="F959" s="25">
        <f>VLOOKUP(E959,Assumptions!$A$5:$B$8,2,0)</f>
        <v/>
      </c>
    </row>
    <row r="960">
      <c r="A960" t="inlineStr">
        <is>
          <t>RetailBanking</t>
        </is>
      </c>
      <c r="B960" t="inlineStr">
        <is>
          <t>Clearing</t>
        </is>
      </c>
      <c r="C960" t="inlineStr">
        <is>
          <t>SubMemChequeShifting.aspx</t>
        </is>
      </c>
      <c r="D960" t="inlineStr">
        <is>
          <t>RetailBanking/Clearing/SubMemChequeShifting.aspx</t>
        </is>
      </c>
      <c r="E960" t="inlineStr">
        <is>
          <t>Medium</t>
        </is>
      </c>
      <c r="F960" s="25">
        <f>VLOOKUP(E960,Assumptions!$A$5:$B$8,2,0)</f>
        <v/>
      </c>
    </row>
    <row r="961">
      <c r="A961" t="inlineStr">
        <is>
          <t>RetailBanking</t>
        </is>
      </c>
      <c r="B961" t="inlineStr">
        <is>
          <t>Clearing</t>
        </is>
      </c>
      <c r="C961" t="inlineStr">
        <is>
          <t>addOutwardClearingTransaction.aspx</t>
        </is>
      </c>
      <c r="D961" t="inlineStr">
        <is>
          <t>RetailBanking/Clearing/addOutwardClearingTransaction.aspx</t>
        </is>
      </c>
      <c r="E961" t="inlineStr">
        <is>
          <t>Complex</t>
        </is>
      </c>
      <c r="F961" s="25">
        <f>VLOOKUP(E961,Assumptions!$A$5:$B$8,2,0)</f>
        <v/>
      </c>
    </row>
    <row r="962">
      <c r="A962" t="inlineStr">
        <is>
          <t>RetailBanking</t>
        </is>
      </c>
      <c r="B962" t="inlineStr">
        <is>
          <t>Clearing</t>
        </is>
      </c>
      <c r="C962" t="inlineStr">
        <is>
          <t>b_CTSIwClearingContraTrans.aspx</t>
        </is>
      </c>
      <c r="D962" t="inlineStr">
        <is>
          <t>RetailBanking/Clearing/b_CTSIwClearingContraTrans.aspx</t>
        </is>
      </c>
      <c r="E962" t="inlineStr">
        <is>
          <t>Medium</t>
        </is>
      </c>
      <c r="F962" s="25">
        <f>VLOOKUP(E962,Assumptions!$A$5:$B$8,2,0)</f>
        <v/>
      </c>
    </row>
    <row r="963">
      <c r="A963" t="inlineStr">
        <is>
          <t>RetailBanking</t>
        </is>
      </c>
      <c r="B963" t="inlineStr">
        <is>
          <t>Clearing</t>
        </is>
      </c>
      <c r="C963" t="inlineStr">
        <is>
          <t>b_CTSIwReturnContraTrans.aspx</t>
        </is>
      </c>
      <c r="D963" t="inlineStr">
        <is>
          <t>RetailBanking/Clearing/b_CTSIwReturnContraTrans.aspx</t>
        </is>
      </c>
      <c r="E963" t="inlineStr">
        <is>
          <t>Medium</t>
        </is>
      </c>
      <c r="F963" s="25">
        <f>VLOOKUP(E963,Assumptions!$A$5:$B$8,2,0)</f>
        <v/>
      </c>
    </row>
    <row r="964">
      <c r="A964" t="inlineStr">
        <is>
          <t>RetailBanking</t>
        </is>
      </c>
      <c r="B964" t="inlineStr">
        <is>
          <t>Clearing</t>
        </is>
      </c>
      <c r="C964" t="inlineStr">
        <is>
          <t>b_inwardClgChequeImages.aspx</t>
        </is>
      </c>
      <c r="D964" t="inlineStr">
        <is>
          <t>RetailBanking/Clearing/b_inwardClgChequeImages.aspx</t>
        </is>
      </c>
      <c r="E964" t="inlineStr">
        <is>
          <t>Medium</t>
        </is>
      </c>
      <c r="F964" s="25">
        <f>VLOOKUP(E964,Assumptions!$A$5:$B$8,2,0)</f>
        <v/>
      </c>
    </row>
    <row r="965">
      <c r="A965" t="inlineStr">
        <is>
          <t>RetailBanking</t>
        </is>
      </c>
      <c r="B965" t="inlineStr">
        <is>
          <t>Clearing</t>
        </is>
      </c>
      <c r="C965" t="inlineStr">
        <is>
          <t>b_inwardClgFileExtension.aspx</t>
        </is>
      </c>
      <c r="D965" t="inlineStr">
        <is>
          <t>RetailBanking/Clearing/b_inwardClgFileExtension.aspx</t>
        </is>
      </c>
      <c r="E965" t="inlineStr">
        <is>
          <t>Medium</t>
        </is>
      </c>
      <c r="F965" s="25">
        <f>VLOOKUP(E965,Assumptions!$A$5:$B$8,2,0)</f>
        <v/>
      </c>
    </row>
    <row r="966">
      <c r="A966" t="inlineStr">
        <is>
          <t>RetailBanking</t>
        </is>
      </c>
      <c r="B966" t="inlineStr">
        <is>
          <t>Clearing</t>
        </is>
      </c>
      <c r="C966" t="inlineStr">
        <is>
          <t>b_inwardClgFileUpdate.aspx</t>
        </is>
      </c>
      <c r="D966" t="inlineStr">
        <is>
          <t>RetailBanking/Clearing/b_inwardClgFileUpdate.aspx</t>
        </is>
      </c>
      <c r="E966" t="inlineStr">
        <is>
          <t>Medium</t>
        </is>
      </c>
      <c r="F966" s="25">
        <f>VLOOKUP(E966,Assumptions!$A$5:$B$8,2,0)</f>
        <v/>
      </c>
    </row>
    <row r="967">
      <c r="A967" t="inlineStr">
        <is>
          <t>RetailBanking</t>
        </is>
      </c>
      <c r="B967" t="inlineStr">
        <is>
          <t>Clearing</t>
        </is>
      </c>
      <c r="C967" t="inlineStr">
        <is>
          <t>b_inwardClgFileV2.aspx</t>
        </is>
      </c>
      <c r="D967" t="inlineStr">
        <is>
          <t>RetailBanking/Clearing/b_inwardClgFileV2.aspx</t>
        </is>
      </c>
      <c r="E967" t="inlineStr">
        <is>
          <t>Medium</t>
        </is>
      </c>
      <c r="F967" s="25">
        <f>VLOOKUP(E967,Assumptions!$A$5:$B$8,2,0)</f>
        <v/>
      </c>
    </row>
    <row r="968">
      <c r="A968" t="inlineStr">
        <is>
          <t>RetailBanking</t>
        </is>
      </c>
      <c r="B968" t="inlineStr">
        <is>
          <t>Clearing</t>
        </is>
      </c>
      <c r="C968" t="inlineStr">
        <is>
          <t>CTSOutwardTranONUS.aspx</t>
        </is>
      </c>
      <c r="D968" t="inlineStr">
        <is>
          <t>RetailBanking/Clearing/consclearing/CTSOutwardTranONUS.aspx</t>
        </is>
      </c>
      <c r="E968" t="inlineStr">
        <is>
          <t>Medium</t>
        </is>
      </c>
      <c r="F968" s="25">
        <f>VLOOKUP(E968,Assumptions!$A$5:$B$8,2,0)</f>
        <v/>
      </c>
    </row>
    <row r="969">
      <c r="A969" t="inlineStr">
        <is>
          <t>RetailBanking</t>
        </is>
      </c>
      <c r="B969" t="inlineStr">
        <is>
          <t>Clearing</t>
        </is>
      </c>
      <c r="C969" t="inlineStr">
        <is>
          <t>CTSOwLotCrDateUpdate.aspx</t>
        </is>
      </c>
      <c r="D969" t="inlineStr">
        <is>
          <t>RetailBanking/Clearing/consclearing/CTSOwLotCrDateUpdate.aspx</t>
        </is>
      </c>
      <c r="E969" t="inlineStr">
        <is>
          <t>Medium</t>
        </is>
      </c>
      <c r="F969" s="25">
        <f>VLOOKUP(E969,Assumptions!$A$5:$B$8,2,0)</f>
        <v/>
      </c>
    </row>
    <row r="970">
      <c r="A970" t="inlineStr">
        <is>
          <t>RetailBanking</t>
        </is>
      </c>
      <c r="B970" t="inlineStr">
        <is>
          <t>Clearing</t>
        </is>
      </c>
      <c r="C970" t="inlineStr">
        <is>
          <t>CTSOwTransAccUpdate.aspx</t>
        </is>
      </c>
      <c r="D970" t="inlineStr">
        <is>
          <t>RetailBanking/Clearing/consclearing/CTSOwTransAccUpdate.aspx</t>
        </is>
      </c>
      <c r="E970" t="inlineStr">
        <is>
          <t>Medium</t>
        </is>
      </c>
      <c r="F970" s="25">
        <f>VLOOKUP(E970,Assumptions!$A$5:$B$8,2,0)</f>
        <v/>
      </c>
    </row>
    <row r="971">
      <c r="A971" t="inlineStr">
        <is>
          <t>RetailBanking</t>
        </is>
      </c>
      <c r="B971" t="inlineStr">
        <is>
          <t>Clearing</t>
        </is>
      </c>
      <c r="C971" t="inlineStr">
        <is>
          <t>CentralizeClearingOwFileExport.aspx</t>
        </is>
      </c>
      <c r="D971" t="inlineStr">
        <is>
          <t>RetailBanking/Clearing/consclearing/CentralizeClearingOwFileExport.aspx</t>
        </is>
      </c>
      <c r="E971" t="inlineStr">
        <is>
          <t>Medium</t>
        </is>
      </c>
      <c r="F971" s="25">
        <f>VLOOKUP(E971,Assumptions!$A$5:$B$8,2,0)</f>
        <v/>
      </c>
    </row>
    <row r="972">
      <c r="A972" t="inlineStr">
        <is>
          <t>RetailBanking</t>
        </is>
      </c>
      <c r="B972" t="inlineStr">
        <is>
          <t>Clearing</t>
        </is>
      </c>
      <c r="C972" t="inlineStr">
        <is>
          <t>CentralizedOutwardClearingTransaction.aspx</t>
        </is>
      </c>
      <c r="D972" t="inlineStr">
        <is>
          <t>RetailBanking/Clearing/consclearing/CentralizedOutwardClearingTransaction.aspx</t>
        </is>
      </c>
      <c r="E972" t="inlineStr">
        <is>
          <t>Complex</t>
        </is>
      </c>
      <c r="F972" s="25">
        <f>VLOOKUP(E972,Assumptions!$A$5:$B$8,2,0)</f>
        <v/>
      </c>
    </row>
    <row r="973">
      <c r="A973" t="inlineStr">
        <is>
          <t>RetailBanking</t>
        </is>
      </c>
      <c r="B973" t="inlineStr">
        <is>
          <t>Clearing</t>
        </is>
      </c>
      <c r="C973" t="inlineStr">
        <is>
          <t>CentralizedOutwardLotDisable.aspx</t>
        </is>
      </c>
      <c r="D973" t="inlineStr">
        <is>
          <t>RetailBanking/Clearing/consclearing/CentralizedOutwardLotDisable.aspx</t>
        </is>
      </c>
      <c r="E973" t="inlineStr">
        <is>
          <t>Medium</t>
        </is>
      </c>
      <c r="F973" s="25">
        <f>VLOOKUP(E973,Assumptions!$A$5:$B$8,2,0)</f>
        <v/>
      </c>
    </row>
    <row r="974">
      <c r="A974" t="inlineStr">
        <is>
          <t>RetailBanking</t>
        </is>
      </c>
      <c r="B974" t="inlineStr">
        <is>
          <t>Clearing</t>
        </is>
      </c>
      <c r="C974" t="inlineStr">
        <is>
          <t>Cl_OwRecPayDetail.aspx</t>
        </is>
      </c>
      <c r="D974" t="inlineStr">
        <is>
          <t>RetailBanking/Clearing/consclearing/Cl_OwRecPayDetail.aspx</t>
        </is>
      </c>
      <c r="E974" t="inlineStr">
        <is>
          <t>Medium</t>
        </is>
      </c>
      <c r="F974" s="25">
        <f>VLOOKUP(E974,Assumptions!$A$5:$B$8,2,0)</f>
        <v/>
      </c>
    </row>
    <row r="975">
      <c r="A975" t="inlineStr">
        <is>
          <t>RetailBanking</t>
        </is>
      </c>
      <c r="B975" t="inlineStr">
        <is>
          <t>Clearing</t>
        </is>
      </c>
      <c r="C975" t="inlineStr">
        <is>
          <t>CtsInwChqNoUpdate.aspx</t>
        </is>
      </c>
      <c r="D975" t="inlineStr">
        <is>
          <t>RetailBanking/Clearing/consclearing/CtsInwChqNoUpdate.aspx</t>
        </is>
      </c>
      <c r="E975" t="inlineStr">
        <is>
          <t>Medium</t>
        </is>
      </c>
      <c r="F975" s="25">
        <f>VLOOKUP(E975,Assumptions!$A$5:$B$8,2,0)</f>
        <v/>
      </c>
    </row>
    <row r="976">
      <c r="A976" t="inlineStr">
        <is>
          <t>RetailBanking</t>
        </is>
      </c>
      <c r="B976" t="inlineStr">
        <is>
          <t>Clearing</t>
        </is>
      </c>
      <c r="C976" t="inlineStr">
        <is>
          <t>CtsIwFileImport.aspx</t>
        </is>
      </c>
      <c r="D976" t="inlineStr">
        <is>
          <t>RetailBanking/Clearing/consclearing/CtsIwFileImport.aspx</t>
        </is>
      </c>
      <c r="E976" t="inlineStr">
        <is>
          <t>Medium</t>
        </is>
      </c>
      <c r="F976" s="25">
        <f>VLOOKUP(E976,Assumptions!$A$5:$B$8,2,0)</f>
        <v/>
      </c>
    </row>
    <row r="977">
      <c r="A977" t="inlineStr">
        <is>
          <t>RetailBanking</t>
        </is>
      </c>
      <c r="B977" t="inlineStr">
        <is>
          <t>Clearing</t>
        </is>
      </c>
      <c r="C977" t="inlineStr">
        <is>
          <t>CtslOwReturnImport.aspx</t>
        </is>
      </c>
      <c r="D977" t="inlineStr">
        <is>
          <t>RetailBanking/Clearing/consclearing/CtslOwReturnImport.aspx</t>
        </is>
      </c>
      <c r="E977" t="inlineStr">
        <is>
          <t>Medium</t>
        </is>
      </c>
      <c r="F977" s="25">
        <f>VLOOKUP(E977,Assumptions!$A$5:$B$8,2,0)</f>
        <v/>
      </c>
    </row>
    <row r="978">
      <c r="A978" t="inlineStr">
        <is>
          <t>RetailBanking</t>
        </is>
      </c>
      <c r="B978" t="inlineStr">
        <is>
          <t>Clearing</t>
        </is>
      </c>
      <c r="C978" t="inlineStr">
        <is>
          <t>OwLateReturn.aspx</t>
        </is>
      </c>
      <c r="D978" t="inlineStr">
        <is>
          <t>RetailBanking/Clearing/consclearing/OwLateReturn.aspx</t>
        </is>
      </c>
      <c r="E978" t="inlineStr">
        <is>
          <t>Medium</t>
        </is>
      </c>
      <c r="F978" s="25">
        <f>VLOOKUP(E978,Assumptions!$A$5:$B$8,2,0)</f>
        <v/>
      </c>
    </row>
    <row r="979">
      <c r="A979" t="inlineStr">
        <is>
          <t>RetailBanking</t>
        </is>
      </c>
      <c r="B979" t="inlineStr">
        <is>
          <t>Clearing</t>
        </is>
      </c>
      <c r="C979" t="inlineStr">
        <is>
          <t>SubmemReturnContra.aspx</t>
        </is>
      </c>
      <c r="D979" t="inlineStr">
        <is>
          <t>RetailBanking/Clearing/consclearing/SubmemReturnContra.aspx</t>
        </is>
      </c>
      <c r="E979" t="inlineStr">
        <is>
          <t>Medium</t>
        </is>
      </c>
      <c r="F979" s="25">
        <f>VLOOKUP(E979,Assumptions!$A$5:$B$8,2,0)</f>
        <v/>
      </c>
    </row>
    <row r="980">
      <c r="A980" t="inlineStr">
        <is>
          <t>RetailBanking</t>
        </is>
      </c>
      <c r="B980" t="inlineStr">
        <is>
          <t>Clearing</t>
        </is>
      </c>
      <c r="C980" t="inlineStr">
        <is>
          <t>SubmemberOwClrRetEntry.aspx</t>
        </is>
      </c>
      <c r="D980" t="inlineStr">
        <is>
          <t>RetailBanking/Clearing/consclearing/SubmemberOwClrRetEntry.aspx</t>
        </is>
      </c>
      <c r="E980" t="inlineStr">
        <is>
          <t>Medium</t>
        </is>
      </c>
      <c r="F980" s="25">
        <f>VLOOKUP(E980,Assumptions!$A$5:$B$8,2,0)</f>
        <v/>
      </c>
    </row>
    <row r="981">
      <c r="A981" t="inlineStr">
        <is>
          <t>RetailBanking</t>
        </is>
      </c>
      <c r="B981" t="inlineStr">
        <is>
          <t>Clearing</t>
        </is>
      </c>
      <c r="C981" t="inlineStr">
        <is>
          <t>outward_clear_v1.aspx</t>
        </is>
      </c>
      <c r="D981" t="inlineStr">
        <is>
          <t>RetailBanking/Clearing/consclearing/outward_clear_v1.aspx</t>
        </is>
      </c>
      <c r="E981" t="inlineStr">
        <is>
          <t>Medium</t>
        </is>
      </c>
      <c r="F981" s="25">
        <f>VLOOKUP(E981,Assumptions!$A$5:$B$8,2,0)</f>
        <v/>
      </c>
    </row>
    <row r="982">
      <c r="A982" t="inlineStr">
        <is>
          <t>RetailBanking</t>
        </is>
      </c>
      <c r="B982" t="inlineStr">
        <is>
          <t>Clearing</t>
        </is>
      </c>
      <c r="C982" t="inlineStr">
        <is>
          <t>outward_clearing_pre_val.aspx</t>
        </is>
      </c>
      <c r="D982" t="inlineStr">
        <is>
          <t>RetailBanking/Clearing/consclearing/outward_clearing_pre_val.aspx</t>
        </is>
      </c>
      <c r="E982" t="inlineStr">
        <is>
          <t>Medium</t>
        </is>
      </c>
      <c r="F982" s="25">
        <f>VLOOKUP(E982,Assumptions!$A$5:$B$8,2,0)</f>
        <v/>
      </c>
    </row>
    <row r="983">
      <c r="A983" t="inlineStr">
        <is>
          <t>RetailBanking</t>
        </is>
      </c>
      <c r="B983" t="inlineStr">
        <is>
          <t>Clearing</t>
        </is>
      </c>
      <c r="C983" t="inlineStr">
        <is>
          <t>createLot.aspx</t>
        </is>
      </c>
      <c r="D983" t="inlineStr">
        <is>
          <t>RetailBanking/Clearing/createLot.aspx</t>
        </is>
      </c>
      <c r="E983" t="inlineStr">
        <is>
          <t>Medium</t>
        </is>
      </c>
      <c r="F983" s="25">
        <f>VLOOKUP(E983,Assumptions!$A$5:$B$8,2,0)</f>
        <v/>
      </c>
    </row>
    <row r="984">
      <c r="A984" t="inlineStr">
        <is>
          <t>RetailBanking</t>
        </is>
      </c>
      <c r="B984" t="inlineStr">
        <is>
          <t>Clearing</t>
        </is>
      </c>
      <c r="C984" t="inlineStr">
        <is>
          <t>ctsDashEnqForm.aspx</t>
        </is>
      </c>
      <c r="D984" t="inlineStr">
        <is>
          <t>RetailBanking/Clearing/ctsDashEnqForm.aspx</t>
        </is>
      </c>
      <c r="E984" t="inlineStr">
        <is>
          <t>Medium</t>
        </is>
      </c>
      <c r="F984" s="25">
        <f>VLOOKUP(E984,Assumptions!$A$5:$B$8,2,0)</f>
        <v/>
      </c>
    </row>
    <row r="985">
      <c r="A985" t="inlineStr">
        <is>
          <t>RetailBanking</t>
        </is>
      </c>
      <c r="B985" t="inlineStr">
        <is>
          <t>Clearing</t>
        </is>
      </c>
      <c r="C985" t="inlineStr">
        <is>
          <t>ctsDashEnqFormPopup.aspx</t>
        </is>
      </c>
      <c r="D985" t="inlineStr">
        <is>
          <t>RetailBanking/Clearing/ctsDashEnqFormPopup.aspx</t>
        </is>
      </c>
      <c r="E985" t="inlineStr">
        <is>
          <t>Medium</t>
        </is>
      </c>
      <c r="F985" s="25">
        <f>VLOOKUP(E985,Assumptions!$A$5:$B$8,2,0)</f>
        <v/>
      </c>
    </row>
    <row r="986">
      <c r="A986" t="inlineStr">
        <is>
          <t>RetailBanking</t>
        </is>
      </c>
      <c r="B986" t="inlineStr">
        <is>
          <t>Clearing</t>
        </is>
      </c>
      <c r="C986" t="inlineStr">
        <is>
          <t>cts_P2FMarking.aspx</t>
        </is>
      </c>
      <c r="D986" t="inlineStr">
        <is>
          <t>RetailBanking/Clearing/cts_P2FMarking.aspx</t>
        </is>
      </c>
      <c r="E986" t="inlineStr">
        <is>
          <t>Medium</t>
        </is>
      </c>
      <c r="F986" s="25">
        <f>VLOOKUP(E986,Assumptions!$A$5:$B$8,2,0)</f>
        <v/>
      </c>
    </row>
    <row r="987">
      <c r="A987" t="inlineStr">
        <is>
          <t>RetailBanking</t>
        </is>
      </c>
      <c r="B987" t="inlineStr">
        <is>
          <t>Clearing</t>
        </is>
      </c>
      <c r="C987" t="inlineStr">
        <is>
          <t>executeOutwardClearingTransaction.aspx</t>
        </is>
      </c>
      <c r="D987" t="inlineStr">
        <is>
          <t>RetailBanking/Clearing/executeOutwardClearingTransaction.aspx</t>
        </is>
      </c>
      <c r="E987" t="inlineStr">
        <is>
          <t>Complex</t>
        </is>
      </c>
      <c r="F987" s="25">
        <f>VLOOKUP(E987,Assumptions!$A$5:$B$8,2,0)</f>
        <v/>
      </c>
    </row>
    <row r="988">
      <c r="A988" t="inlineStr">
        <is>
          <t>RetailBanking</t>
        </is>
      </c>
      <c r="B988" t="inlineStr">
        <is>
          <t>Clearing</t>
        </is>
      </c>
      <c r="C988" t="inlineStr">
        <is>
          <t>outward_clear.aspx</t>
        </is>
      </c>
      <c r="D988" t="inlineStr">
        <is>
          <t>RetailBanking/Clearing/outward_clear.aspx</t>
        </is>
      </c>
      <c r="E988" t="inlineStr">
        <is>
          <t>Medium</t>
        </is>
      </c>
      <c r="F988" s="25">
        <f>VLOOKUP(E988,Assumptions!$A$5:$B$8,2,0)</f>
        <v/>
      </c>
    </row>
    <row r="989">
      <c r="A989" t="inlineStr">
        <is>
          <t>RetailBanking</t>
        </is>
      </c>
      <c r="B989" t="inlineStr"/>
      <c r="C989" t="inlineStr">
        <is>
          <t>ClientComplaintRegister.aspx</t>
        </is>
      </c>
      <c r="D989" t="inlineStr">
        <is>
          <t>RetailBanking/ClientComplaintRegister.aspx</t>
        </is>
      </c>
      <c r="E989" t="inlineStr">
        <is>
          <t>Medium</t>
        </is>
      </c>
      <c r="F989" s="25">
        <f>VLOOKUP(E989,Assumptions!$A$5:$B$8,2,0)</f>
        <v/>
      </c>
    </row>
    <row r="990">
      <c r="A990" t="inlineStr">
        <is>
          <t>RetailBanking</t>
        </is>
      </c>
      <c r="B990" t="inlineStr"/>
      <c r="C990" t="inlineStr">
        <is>
          <t>ClientComplaintRegisterDetails.aspx</t>
        </is>
      </c>
      <c r="D990" t="inlineStr">
        <is>
          <t>RetailBanking/ClientComplaintRegisterDetails.aspx</t>
        </is>
      </c>
      <c r="E990" t="inlineStr">
        <is>
          <t>Medium</t>
        </is>
      </c>
      <c r="F990" s="25">
        <f>VLOOKUP(E990,Assumptions!$A$5:$B$8,2,0)</f>
        <v/>
      </c>
    </row>
    <row r="991">
      <c r="A991" t="inlineStr">
        <is>
          <t>RetailBanking</t>
        </is>
      </c>
      <c r="B991" t="inlineStr"/>
      <c r="C991" t="inlineStr">
        <is>
          <t>ClientGroupViewer.aspx</t>
        </is>
      </c>
      <c r="D991" t="inlineStr">
        <is>
          <t>RetailBanking/ClientGroupViewer.aspx</t>
        </is>
      </c>
      <c r="E991" t="inlineStr">
        <is>
          <t>Medium</t>
        </is>
      </c>
      <c r="F991" s="25">
        <f>VLOOKUP(E991,Assumptions!$A$5:$B$8,2,0)</f>
        <v/>
      </c>
    </row>
    <row r="992">
      <c r="A992" t="inlineStr">
        <is>
          <t>RetailBanking</t>
        </is>
      </c>
      <c r="B992" t="inlineStr"/>
      <c r="C992" t="inlineStr">
        <is>
          <t>ClientTdsCashExempt.aspx</t>
        </is>
      </c>
      <c r="D992" t="inlineStr">
        <is>
          <t>RetailBanking/ClientTdsCashExempt.aspx</t>
        </is>
      </c>
      <c r="E992" t="inlineStr">
        <is>
          <t>Medium</t>
        </is>
      </c>
      <c r="F992" s="25">
        <f>VLOOKUP(E992,Assumptions!$A$5:$B$8,2,0)</f>
        <v/>
      </c>
    </row>
    <row r="993">
      <c r="A993" t="inlineStr">
        <is>
          <t>RetailBanking</t>
        </is>
      </c>
      <c r="B993" t="inlineStr"/>
      <c r="C993" t="inlineStr">
        <is>
          <t>ClientTdscashExemptDetPopup.aspx</t>
        </is>
      </c>
      <c r="D993" t="inlineStr">
        <is>
          <t>RetailBanking/ClientTdscashExemptDetPopup.aspx</t>
        </is>
      </c>
      <c r="E993" t="inlineStr">
        <is>
          <t>Medium</t>
        </is>
      </c>
      <c r="F993" s="25">
        <f>VLOOKUP(E993,Assumptions!$A$5:$B$8,2,0)</f>
        <v/>
      </c>
    </row>
    <row r="994">
      <c r="A994" t="inlineStr">
        <is>
          <t>RetailBanking</t>
        </is>
      </c>
      <c r="B994" t="inlineStr"/>
      <c r="C994" t="inlineStr">
        <is>
          <t>ContraTrEntriesUpdate.aspx</t>
        </is>
      </c>
      <c r="D994" t="inlineStr">
        <is>
          <t>RetailBanking/ContraTrEntriesUpdate.aspx</t>
        </is>
      </c>
      <c r="E994" t="inlineStr">
        <is>
          <t>Medium</t>
        </is>
      </c>
      <c r="F994" s="25">
        <f>VLOOKUP(E994,Assumptions!$A$5:$B$8,2,0)</f>
        <v/>
      </c>
    </row>
    <row r="995">
      <c r="A995" t="inlineStr">
        <is>
          <t>RetailBanking</t>
        </is>
      </c>
      <c r="B995" t="inlineStr"/>
      <c r="C995" t="inlineStr">
        <is>
          <t>CounterfeitNotes.aspx</t>
        </is>
      </c>
      <c r="D995" t="inlineStr">
        <is>
          <t>RetailBanking/CounterfeitNotes.aspx</t>
        </is>
      </c>
      <c r="E995" t="inlineStr">
        <is>
          <t>Medium</t>
        </is>
      </c>
      <c r="F995" s="25">
        <f>VLOOKUP(E995,Assumptions!$A$5:$B$8,2,0)</f>
        <v/>
      </c>
    </row>
    <row r="996">
      <c r="A996" t="inlineStr">
        <is>
          <t>RetailBanking</t>
        </is>
      </c>
      <c r="B996" t="inlineStr"/>
      <c r="C996" t="inlineStr">
        <is>
          <t>DDPOParameterSetting.aspx</t>
        </is>
      </c>
      <c r="D996" t="inlineStr">
        <is>
          <t>RetailBanking/DDPOParameterSetting.aspx</t>
        </is>
      </c>
      <c r="E996" t="inlineStr">
        <is>
          <t>Medium</t>
        </is>
      </c>
      <c r="F996" s="25">
        <f>VLOOKUP(E996,Assumptions!$A$5:$B$8,2,0)</f>
        <v/>
      </c>
    </row>
    <row r="997">
      <c r="A997" t="inlineStr">
        <is>
          <t>RetailBanking</t>
        </is>
      </c>
      <c r="B997" t="inlineStr">
        <is>
          <t>Dayend</t>
        </is>
      </c>
      <c r="C997" t="inlineStr">
        <is>
          <t>DayendDetails.aspx</t>
        </is>
      </c>
      <c r="D997" t="inlineStr">
        <is>
          <t>RetailBanking/Dayend/DayendDetails.aspx</t>
        </is>
      </c>
      <c r="E997" t="inlineStr">
        <is>
          <t>Medium</t>
        </is>
      </c>
      <c r="F997" s="25">
        <f>VLOOKUP(E997,Assumptions!$A$5:$B$8,2,0)</f>
        <v/>
      </c>
    </row>
    <row r="998">
      <c r="A998" t="inlineStr">
        <is>
          <t>RetailBanking</t>
        </is>
      </c>
      <c r="B998" t="inlineStr">
        <is>
          <t>DeathClaim</t>
        </is>
      </c>
      <c r="C998" t="inlineStr">
        <is>
          <t>g_DeathClaim.aspx</t>
        </is>
      </c>
      <c r="D998" t="inlineStr">
        <is>
          <t>RetailBanking/DeathClaim/g_DeathClaim.aspx</t>
        </is>
      </c>
      <c r="E998" t="inlineStr">
        <is>
          <t>Medium</t>
        </is>
      </c>
      <c r="F998" s="25">
        <f>VLOOKUP(E998,Assumptions!$A$5:$B$8,2,0)</f>
        <v/>
      </c>
    </row>
    <row r="999">
      <c r="A999" t="inlineStr">
        <is>
          <t>RetailBanking</t>
        </is>
      </c>
      <c r="B999" t="inlineStr"/>
      <c r="C999" t="inlineStr">
        <is>
          <t>DepLNCCIntegrityChecker.aspx</t>
        </is>
      </c>
      <c r="D999" t="inlineStr">
        <is>
          <t>RetailBanking/DepLNCCIntegrityChecker.aspx</t>
        </is>
      </c>
      <c r="E999" t="inlineStr">
        <is>
          <t>Medium</t>
        </is>
      </c>
      <c r="F999" s="25">
        <f>VLOOKUP(E999,Assumptions!$A$5:$B$8,2,0)</f>
        <v/>
      </c>
    </row>
    <row r="1000">
      <c r="A1000" t="inlineStr">
        <is>
          <t>RetailBanking</t>
        </is>
      </c>
      <c r="B1000" t="inlineStr"/>
      <c r="C1000" t="inlineStr">
        <is>
          <t>DepositInterestSlab.aspx</t>
        </is>
      </c>
      <c r="D1000" t="inlineStr">
        <is>
          <t>RetailBanking/DepositInterestSlab.aspx</t>
        </is>
      </c>
      <c r="E1000" t="inlineStr">
        <is>
          <t>Medium</t>
        </is>
      </c>
      <c r="F1000" s="25">
        <f>VLOOKUP(E1000,Assumptions!$A$5:$B$8,2,0)</f>
        <v/>
      </c>
    </row>
    <row r="1001">
      <c r="A1001" t="inlineStr">
        <is>
          <t>RetailBanking</t>
        </is>
      </c>
      <c r="B1001" t="inlineStr"/>
      <c r="C1001" t="inlineStr">
        <is>
          <t>DuplicateFDPrint.aspx</t>
        </is>
      </c>
      <c r="D1001" t="inlineStr">
        <is>
          <t>RetailBanking/DuplicateFDPrint.aspx</t>
        </is>
      </c>
      <c r="E1001" t="inlineStr">
        <is>
          <t>Medium</t>
        </is>
      </c>
      <c r="F1001" s="25">
        <f>VLOOKUP(E1001,Assumptions!$A$5:$B$8,2,0)</f>
        <v/>
      </c>
    </row>
    <row r="1002">
      <c r="A1002" t="inlineStr">
        <is>
          <t>RetailBanking</t>
        </is>
      </c>
      <c r="B1002" t="inlineStr">
        <is>
          <t>ECS</t>
        </is>
      </c>
      <c r="C1002" t="inlineStr">
        <is>
          <t>ECS_SubMemCrDrShifting.aspx</t>
        </is>
      </c>
      <c r="D1002" t="inlineStr">
        <is>
          <t>RetailBanking/ECS/MandateManagement/ECS_SubMemCrDrShifting.aspx</t>
        </is>
      </c>
      <c r="E1002" t="inlineStr">
        <is>
          <t>Medium</t>
        </is>
      </c>
      <c r="F1002" s="25">
        <f>VLOOKUP(E1002,Assumptions!$A$5:$B$8,2,0)</f>
        <v/>
      </c>
    </row>
    <row r="1003">
      <c r="A1003" t="inlineStr">
        <is>
          <t>RetailBanking</t>
        </is>
      </c>
      <c r="B1003" t="inlineStr">
        <is>
          <t>ECS</t>
        </is>
      </c>
      <c r="C1003" t="inlineStr">
        <is>
          <t>Ecs_MandateNewInwFile.aspx</t>
        </is>
      </c>
      <c r="D1003" t="inlineStr">
        <is>
          <t>RetailBanking/ECS/MandateManagement/Ecs_MandateNewInwFile.aspx</t>
        </is>
      </c>
      <c r="E1003" t="inlineStr">
        <is>
          <t>Medium</t>
        </is>
      </c>
      <c r="F1003" s="25">
        <f>VLOOKUP(E1003,Assumptions!$A$5:$B$8,2,0)</f>
        <v/>
      </c>
    </row>
    <row r="1004">
      <c r="A1004" t="inlineStr">
        <is>
          <t>RetailBanking</t>
        </is>
      </c>
      <c r="B1004" t="inlineStr">
        <is>
          <t>ECS</t>
        </is>
      </c>
      <c r="C1004" t="inlineStr">
        <is>
          <t>Ecs_MandatenewinwAcceptfile.aspx</t>
        </is>
      </c>
      <c r="D1004" t="inlineStr">
        <is>
          <t>RetailBanking/ECS/MandateManagement/Ecs_MandatenewinwAcceptfile.aspx</t>
        </is>
      </c>
      <c r="E1004" t="inlineStr">
        <is>
          <t>Medium</t>
        </is>
      </c>
      <c r="F1004" s="25">
        <f>VLOOKUP(E1004,Assumptions!$A$5:$B$8,2,0)</f>
        <v/>
      </c>
    </row>
    <row r="1005">
      <c r="A1005" t="inlineStr">
        <is>
          <t>RetailBanking</t>
        </is>
      </c>
      <c r="B1005" t="inlineStr">
        <is>
          <t>ECS</t>
        </is>
      </c>
      <c r="C1005" t="inlineStr">
        <is>
          <t>Ecs_MandatenewinwAcceptfileV1.aspx</t>
        </is>
      </c>
      <c r="D1005" t="inlineStr">
        <is>
          <t>RetailBanking/ECS/MandateManagement/Ecs_MandatenewinwAcceptfileV1.aspx</t>
        </is>
      </c>
      <c r="E1005" t="inlineStr">
        <is>
          <t>Medium</t>
        </is>
      </c>
      <c r="F1005" s="25">
        <f>VLOOKUP(E1005,Assumptions!$A$5:$B$8,2,0)</f>
        <v/>
      </c>
    </row>
    <row r="1006">
      <c r="A1006" t="inlineStr">
        <is>
          <t>RetailBanking</t>
        </is>
      </c>
      <c r="B1006" t="inlineStr">
        <is>
          <t>ECS</t>
        </is>
      </c>
      <c r="C1006" t="inlineStr">
        <is>
          <t>NewMandateImage.aspx</t>
        </is>
      </c>
      <c r="D1006" t="inlineStr">
        <is>
          <t>RetailBanking/ECS/MandateManagement/NewMandateImage.aspx</t>
        </is>
      </c>
      <c r="E1006" t="inlineStr">
        <is>
          <t>Medium</t>
        </is>
      </c>
      <c r="F1006" s="25">
        <f>VLOOKUP(E1006,Assumptions!$A$5:$B$8,2,0)</f>
        <v/>
      </c>
    </row>
    <row r="1007">
      <c r="A1007" t="inlineStr">
        <is>
          <t>RetailBanking</t>
        </is>
      </c>
      <c r="B1007" t="inlineStr">
        <is>
          <t>ECS</t>
        </is>
      </c>
      <c r="C1007" t="inlineStr">
        <is>
          <t>ecs_MandateACKFile.aspx</t>
        </is>
      </c>
      <c r="D1007" t="inlineStr">
        <is>
          <t>RetailBanking/ECS/MandateManagement/ecs_MandateACKFile.aspx</t>
        </is>
      </c>
      <c r="E1007" t="inlineStr">
        <is>
          <t>Medium</t>
        </is>
      </c>
      <c r="F1007" s="25">
        <f>VLOOKUP(E1007,Assumptions!$A$5:$B$8,2,0)</f>
        <v/>
      </c>
    </row>
    <row r="1008">
      <c r="A1008" t="inlineStr">
        <is>
          <t>RetailBanking</t>
        </is>
      </c>
      <c r="B1008" t="inlineStr">
        <is>
          <t>ECS</t>
        </is>
      </c>
      <c r="C1008" t="inlineStr">
        <is>
          <t>ecs_MandateACKFilePopup.aspx</t>
        </is>
      </c>
      <c r="D1008" t="inlineStr">
        <is>
          <t>RetailBanking/ECS/MandateManagement/ecs_MandateACKFilePopup.aspx</t>
        </is>
      </c>
      <c r="E1008" t="inlineStr">
        <is>
          <t>Medium</t>
        </is>
      </c>
      <c r="F1008" s="25">
        <f>VLOOKUP(E1008,Assumptions!$A$5:$B$8,2,0)</f>
        <v/>
      </c>
    </row>
    <row r="1009">
      <c r="A1009" t="inlineStr">
        <is>
          <t>RetailBanking</t>
        </is>
      </c>
      <c r="B1009" t="inlineStr">
        <is>
          <t>ECS</t>
        </is>
      </c>
      <c r="C1009" t="inlineStr">
        <is>
          <t>ecs_MandateACKFileV1.aspx</t>
        </is>
      </c>
      <c r="D1009" t="inlineStr">
        <is>
          <t>RetailBanking/ECS/MandateManagement/ecs_MandateACKFileV1.aspx</t>
        </is>
      </c>
      <c r="E1009" t="inlineStr">
        <is>
          <t>Medium</t>
        </is>
      </c>
      <c r="F1009" s="25">
        <f>VLOOKUP(E1009,Assumptions!$A$5:$B$8,2,0)</f>
        <v/>
      </c>
    </row>
    <row r="1010">
      <c r="A1010" t="inlineStr">
        <is>
          <t>RetailBanking</t>
        </is>
      </c>
      <c r="B1010" t="inlineStr">
        <is>
          <t>ECS</t>
        </is>
      </c>
      <c r="C1010" t="inlineStr">
        <is>
          <t>ecs_MandateAcceptResponseFileV1.aspx</t>
        </is>
      </c>
      <c r="D1010" t="inlineStr">
        <is>
          <t>RetailBanking/ECS/MandateManagement/ecs_MandateAcceptResponseFileV1.aspx</t>
        </is>
      </c>
      <c r="E1010" t="inlineStr">
        <is>
          <t>Medium</t>
        </is>
      </c>
      <c r="F1010" s="25">
        <f>VLOOKUP(E1010,Assumptions!$A$5:$B$8,2,0)</f>
        <v/>
      </c>
    </row>
    <row r="1011">
      <c r="A1011" t="inlineStr">
        <is>
          <t>RetailBanking</t>
        </is>
      </c>
      <c r="B1011" t="inlineStr">
        <is>
          <t>ECS</t>
        </is>
      </c>
      <c r="C1011" t="inlineStr">
        <is>
          <t>ecs_MandateBulkExport.aspx</t>
        </is>
      </c>
      <c r="D1011" t="inlineStr">
        <is>
          <t>RetailBanking/ECS/MandateManagement/ecs_MandateBulkExport.aspx</t>
        </is>
      </c>
      <c r="E1011" t="inlineStr">
        <is>
          <t>Medium</t>
        </is>
      </c>
      <c r="F1011" s="25">
        <f>VLOOKUP(E1011,Assumptions!$A$5:$B$8,2,0)</f>
        <v/>
      </c>
    </row>
    <row r="1012">
      <c r="A1012" t="inlineStr">
        <is>
          <t>RetailBanking</t>
        </is>
      </c>
      <c r="B1012" t="inlineStr">
        <is>
          <t>ECS</t>
        </is>
      </c>
      <c r="C1012" t="inlineStr">
        <is>
          <t>ecs_MandateNewBulkInwFile.aspx</t>
        </is>
      </c>
      <c r="D1012" t="inlineStr">
        <is>
          <t>RetailBanking/ECS/MandateManagement/ecs_MandateNewBulkInwFile.aspx</t>
        </is>
      </c>
      <c r="E1012" t="inlineStr">
        <is>
          <t>Medium</t>
        </is>
      </c>
      <c r="F1012" s="25">
        <f>VLOOKUP(E1012,Assumptions!$A$5:$B$8,2,0)</f>
        <v/>
      </c>
    </row>
    <row r="1013">
      <c r="A1013" t="inlineStr">
        <is>
          <t>RetailBanking</t>
        </is>
      </c>
      <c r="B1013" t="inlineStr">
        <is>
          <t>ECS</t>
        </is>
      </c>
      <c r="C1013" t="inlineStr">
        <is>
          <t>ecs_MandateNewFile.aspx</t>
        </is>
      </c>
      <c r="D1013" t="inlineStr">
        <is>
          <t>RetailBanking/ECS/MandateManagement/ecs_MandateNewFile.aspx</t>
        </is>
      </c>
      <c r="E1013" t="inlineStr">
        <is>
          <t>Medium</t>
        </is>
      </c>
      <c r="F1013" s="25">
        <f>VLOOKUP(E1013,Assumptions!$A$5:$B$8,2,0)</f>
        <v/>
      </c>
    </row>
    <row r="1014">
      <c r="A1014" t="inlineStr">
        <is>
          <t>RetailBanking</t>
        </is>
      </c>
      <c r="B1014" t="inlineStr">
        <is>
          <t>ECS</t>
        </is>
      </c>
      <c r="C1014" t="inlineStr">
        <is>
          <t>ecs_MandateNewInwFilePopup.aspx</t>
        </is>
      </c>
      <c r="D1014" t="inlineStr">
        <is>
          <t>RetailBanking/ECS/MandateManagement/ecs_MandateNewInwFilePopup.aspx</t>
        </is>
      </c>
      <c r="E1014" t="inlineStr">
        <is>
          <t>Medium</t>
        </is>
      </c>
      <c r="F1014" s="25">
        <f>VLOOKUP(E1014,Assumptions!$A$5:$B$8,2,0)</f>
        <v/>
      </c>
    </row>
    <row r="1015">
      <c r="A1015" t="inlineStr">
        <is>
          <t>RetailBanking</t>
        </is>
      </c>
      <c r="B1015" t="inlineStr">
        <is>
          <t>ECS</t>
        </is>
      </c>
      <c r="C1015" t="inlineStr">
        <is>
          <t>ecs_MandateReport.aspx</t>
        </is>
      </c>
      <c r="D1015" t="inlineStr">
        <is>
          <t>RetailBanking/ECS/MandateManagement/ecs_MandateReport.aspx</t>
        </is>
      </c>
      <c r="E1015" t="inlineStr">
        <is>
          <t>Report</t>
        </is>
      </c>
      <c r="F1015" s="25">
        <f>VLOOKUP(E1015,Assumptions!$A$5:$B$8,2,0)</f>
        <v/>
      </c>
    </row>
    <row r="1016">
      <c r="A1016" t="inlineStr">
        <is>
          <t>RetailBanking</t>
        </is>
      </c>
      <c r="B1016" t="inlineStr">
        <is>
          <t>ECS</t>
        </is>
      </c>
      <c r="C1016" t="inlineStr">
        <is>
          <t>ecs_MandatenewinwAcceptfilePopupV1.aspx</t>
        </is>
      </c>
      <c r="D1016" t="inlineStr">
        <is>
          <t>RetailBanking/ECS/MandateManagement/ecs_MandatenewinwAcceptfilePopupV1.aspx</t>
        </is>
      </c>
      <c r="E1016" t="inlineStr">
        <is>
          <t>Medium</t>
        </is>
      </c>
      <c r="F1016" s="25">
        <f>VLOOKUP(E1016,Assumptions!$A$5:$B$8,2,0)</f>
        <v/>
      </c>
    </row>
    <row r="1017">
      <c r="A1017" t="inlineStr">
        <is>
          <t>RetailBanking</t>
        </is>
      </c>
      <c r="B1017" t="inlineStr">
        <is>
          <t>ECS</t>
        </is>
      </c>
      <c r="C1017" t="inlineStr">
        <is>
          <t>ecs_ProductTypeTransactionReport.aspx</t>
        </is>
      </c>
      <c r="D1017" t="inlineStr">
        <is>
          <t>RetailBanking/ECS/MandateManagement/ecs_ProductTypeTransactionReport.aspx</t>
        </is>
      </c>
      <c r="E1017" t="inlineStr">
        <is>
          <t>Report</t>
        </is>
      </c>
      <c r="F1017" s="25">
        <f>VLOOKUP(E1017,Assumptions!$A$5:$B$8,2,0)</f>
        <v/>
      </c>
    </row>
    <row r="1018">
      <c r="A1018" t="inlineStr">
        <is>
          <t>RetailBanking</t>
        </is>
      </c>
      <c r="B1018" t="inlineStr">
        <is>
          <t>ECS</t>
        </is>
      </c>
      <c r="C1018" t="inlineStr">
        <is>
          <t>x_AchProcessResponseFileData.aspx</t>
        </is>
      </c>
      <c r="D1018" t="inlineStr">
        <is>
          <t>RetailBanking/ECS/MandateManagement/x_AchProcessResponseFileData.aspx</t>
        </is>
      </c>
      <c r="E1018" t="inlineStr">
        <is>
          <t>Medium</t>
        </is>
      </c>
      <c r="F1018" s="25">
        <f>VLOOKUP(E1018,Assumptions!$A$5:$B$8,2,0)</f>
        <v/>
      </c>
    </row>
    <row r="1019">
      <c r="A1019" t="inlineStr">
        <is>
          <t>RetailBanking</t>
        </is>
      </c>
      <c r="B1019" t="inlineStr">
        <is>
          <t>ECS</t>
        </is>
      </c>
      <c r="C1019" t="inlineStr">
        <is>
          <t>x_GlobalACHInputRtnACKFile.aspx</t>
        </is>
      </c>
      <c r="D1019" t="inlineStr">
        <is>
          <t>RetailBanking/ECS/MandateManagement/x_GlobalACHInputRtnACKFile.aspx</t>
        </is>
      </c>
      <c r="E1019" t="inlineStr">
        <is>
          <t>Medium</t>
        </is>
      </c>
      <c r="F1019" s="25">
        <f>VLOOKUP(E1019,Assumptions!$A$5:$B$8,2,0)</f>
        <v/>
      </c>
    </row>
    <row r="1020">
      <c r="A1020" t="inlineStr">
        <is>
          <t>RetailBanking</t>
        </is>
      </c>
      <c r="B1020" t="inlineStr">
        <is>
          <t>ECS</t>
        </is>
      </c>
      <c r="C1020" t="inlineStr">
        <is>
          <t>x_MICRECSGenerateFileData.aspx</t>
        </is>
      </c>
      <c r="D1020" t="inlineStr">
        <is>
          <t>RetailBanking/ECS/MandateManagement/x_MICRECSGenerateFileData.aspx</t>
        </is>
      </c>
      <c r="E1020" t="inlineStr">
        <is>
          <t>Medium</t>
        </is>
      </c>
      <c r="F1020" s="25">
        <f>VLOOKUP(E1020,Assumptions!$A$5:$B$8,2,0)</f>
        <v/>
      </c>
    </row>
    <row r="1021">
      <c r="A1021" t="inlineStr">
        <is>
          <t>RetailBanking</t>
        </is>
      </c>
      <c r="B1021" t="inlineStr">
        <is>
          <t>ECS</t>
        </is>
      </c>
      <c r="C1021" t="inlineStr">
        <is>
          <t>b_SubMemberBank.aspx</t>
        </is>
      </c>
      <c r="D1021" t="inlineStr">
        <is>
          <t>RetailBanking/ECS/b_SubMemberBank.aspx</t>
        </is>
      </c>
      <c r="E1021" t="inlineStr">
        <is>
          <t>Medium</t>
        </is>
      </c>
      <c r="F1021" s="25">
        <f>VLOOKUP(E1021,Assumptions!$A$5:$B$8,2,0)</f>
        <v/>
      </c>
    </row>
    <row r="1022">
      <c r="A1022" t="inlineStr">
        <is>
          <t>RetailBanking</t>
        </is>
      </c>
      <c r="B1022" t="inlineStr">
        <is>
          <t>ECS</t>
        </is>
      </c>
      <c r="C1022" t="inlineStr">
        <is>
          <t>ecs_OtherPayFileData.aspx</t>
        </is>
      </c>
      <c r="D1022" t="inlineStr">
        <is>
          <t>RetailBanking/ECS/ecs_OtherPayFileData.aspx</t>
        </is>
      </c>
      <c r="E1022" t="inlineStr">
        <is>
          <t>Medium</t>
        </is>
      </c>
      <c r="F1022" s="25">
        <f>VLOOKUP(E1022,Assumptions!$A$5:$B$8,2,0)</f>
        <v/>
      </c>
    </row>
    <row r="1023">
      <c r="A1023" t="inlineStr">
        <is>
          <t>RetailBanking</t>
        </is>
      </c>
      <c r="B1023" t="inlineStr"/>
      <c r="C1023" t="inlineStr">
        <is>
          <t>EMIChart.aspx</t>
        </is>
      </c>
      <c r="D1023" t="inlineStr">
        <is>
          <t>RetailBanking/EMIChart.aspx</t>
        </is>
      </c>
      <c r="E1023" t="inlineStr">
        <is>
          <t>Medium</t>
        </is>
      </c>
      <c r="F1023" s="25">
        <f>VLOOKUP(E1023,Assumptions!$A$5:$B$8,2,0)</f>
        <v/>
      </c>
    </row>
    <row r="1024">
      <c r="A1024" t="inlineStr">
        <is>
          <t>RetailBanking</t>
        </is>
      </c>
      <c r="B1024" t="inlineStr"/>
      <c r="C1024" t="inlineStr">
        <is>
          <t>FDLienDetails.aspx</t>
        </is>
      </c>
      <c r="D1024" t="inlineStr">
        <is>
          <t>RetailBanking/FDLienDetails.aspx</t>
        </is>
      </c>
      <c r="E1024" t="inlineStr">
        <is>
          <t>Medium</t>
        </is>
      </c>
      <c r="F1024" s="25">
        <f>VLOOKUP(E1024,Assumptions!$A$5:$B$8,2,0)</f>
        <v/>
      </c>
    </row>
    <row r="1025">
      <c r="A1025" t="inlineStr">
        <is>
          <t>RetailBanking</t>
        </is>
      </c>
      <c r="B1025" t="inlineStr"/>
      <c r="C1025" t="inlineStr">
        <is>
          <t>FDPrint.aspx</t>
        </is>
      </c>
      <c r="D1025" t="inlineStr">
        <is>
          <t>RetailBanking/FDPrint.aspx</t>
        </is>
      </c>
      <c r="E1025" t="inlineStr">
        <is>
          <t>Medium</t>
        </is>
      </c>
      <c r="F1025" s="25">
        <f>VLOOKUP(E1025,Assumptions!$A$5:$B$8,2,0)</f>
        <v/>
      </c>
    </row>
    <row r="1026">
      <c r="A1026" t="inlineStr">
        <is>
          <t>RetailBanking</t>
        </is>
      </c>
      <c r="B1026" t="inlineStr">
        <is>
          <t>FI</t>
        </is>
      </c>
      <c r="C1026" t="inlineStr">
        <is>
          <t>fi.aspx</t>
        </is>
      </c>
      <c r="D1026" t="inlineStr">
        <is>
          <t>RetailBanking/FI/fi.aspx</t>
        </is>
      </c>
      <c r="E1026" t="inlineStr">
        <is>
          <t>Medium</t>
        </is>
      </c>
      <c r="F1026" s="25">
        <f>VLOOKUP(E1026,Assumptions!$A$5:$B$8,2,0)</f>
        <v/>
      </c>
    </row>
    <row r="1027">
      <c r="A1027" t="inlineStr">
        <is>
          <t>RetailBanking</t>
        </is>
      </c>
      <c r="B1027" t="inlineStr">
        <is>
          <t>FI</t>
        </is>
      </c>
      <c r="C1027" t="inlineStr">
        <is>
          <t>fi_accountHeadMapping.aspx</t>
        </is>
      </c>
      <c r="D1027" t="inlineStr">
        <is>
          <t>RetailBanking/FI/fi_accountHeadMapping.aspx</t>
        </is>
      </c>
      <c r="E1027" t="inlineStr">
        <is>
          <t>Medium</t>
        </is>
      </c>
      <c r="F1027" s="25">
        <f>VLOOKUP(E1027,Assumptions!$A$5:$B$8,2,0)</f>
        <v/>
      </c>
    </row>
    <row r="1028">
      <c r="A1028" t="inlineStr">
        <is>
          <t>RetailBanking</t>
        </is>
      </c>
      <c r="B1028" t="inlineStr">
        <is>
          <t>FI</t>
        </is>
      </c>
      <c r="C1028" t="inlineStr">
        <is>
          <t>fi_agentconfig.aspx</t>
        </is>
      </c>
      <c r="D1028" t="inlineStr">
        <is>
          <t>RetailBanking/FI/fi_agentconfig.aspx</t>
        </is>
      </c>
      <c r="E1028" t="inlineStr">
        <is>
          <t>Medium</t>
        </is>
      </c>
      <c r="F1028" s="25">
        <f>VLOOKUP(E1028,Assumptions!$A$5:$B$8,2,0)</f>
        <v/>
      </c>
    </row>
    <row r="1029">
      <c r="A1029" t="inlineStr">
        <is>
          <t>RetailBanking</t>
        </is>
      </c>
      <c r="B1029" t="inlineStr"/>
      <c r="C1029" t="inlineStr">
        <is>
          <t>FailedSweepInProcess.aspx</t>
        </is>
      </c>
      <c r="D1029" t="inlineStr">
        <is>
          <t>RetailBanking/FailedSweepInProcess.aspx</t>
        </is>
      </c>
      <c r="E1029" t="inlineStr">
        <is>
          <t>Medium</t>
        </is>
      </c>
      <c r="F1029" s="25">
        <f>VLOOKUP(E1029,Assumptions!$A$5:$B$8,2,0)</f>
        <v/>
      </c>
    </row>
    <row r="1030">
      <c r="A1030" t="inlineStr">
        <is>
          <t>RetailBanking</t>
        </is>
      </c>
      <c r="B1030" t="inlineStr"/>
      <c r="C1030" t="inlineStr">
        <is>
          <t>GoldLoanReceipt.aspx</t>
        </is>
      </c>
      <c r="D1030" t="inlineStr">
        <is>
          <t>RetailBanking/GoldLoanReceipt.aspx</t>
        </is>
      </c>
      <c r="E1030" t="inlineStr">
        <is>
          <t>Medium</t>
        </is>
      </c>
      <c r="F1030" s="25">
        <f>VLOOKUP(E1030,Assumptions!$A$5:$B$8,2,0)</f>
        <v/>
      </c>
    </row>
    <row r="1031">
      <c r="A1031" t="inlineStr">
        <is>
          <t>RetailBanking</t>
        </is>
      </c>
      <c r="B1031" t="inlineStr">
        <is>
          <t>IMPS</t>
        </is>
      </c>
      <c r="C1031" t="inlineStr">
        <is>
          <t>IMPSChangeStatus.aspx</t>
        </is>
      </c>
      <c r="D1031" t="inlineStr">
        <is>
          <t>RetailBanking/IMPS/IMPSChangeStatus.aspx</t>
        </is>
      </c>
      <c r="E1031" t="inlineStr">
        <is>
          <t>Medium</t>
        </is>
      </c>
      <c r="F1031" s="25">
        <f>VLOOKUP(E1031,Assumptions!$A$5:$B$8,2,0)</f>
        <v/>
      </c>
    </row>
    <row r="1032">
      <c r="A1032" t="inlineStr">
        <is>
          <t>RetailBanking</t>
        </is>
      </c>
      <c r="B1032" t="inlineStr">
        <is>
          <t>IMPS</t>
        </is>
      </c>
      <c r="C1032" t="inlineStr">
        <is>
          <t>IMPSOutwardStatus.aspx</t>
        </is>
      </c>
      <c r="D1032" t="inlineStr">
        <is>
          <t>RetailBanking/IMPS/IMPSOutwardStatus.aspx</t>
        </is>
      </c>
      <c r="E1032" t="inlineStr">
        <is>
          <t>Medium</t>
        </is>
      </c>
      <c r="F1032" s="25">
        <f>VLOOKUP(E1032,Assumptions!$A$5:$B$8,2,0)</f>
        <v/>
      </c>
    </row>
    <row r="1033">
      <c r="A1033" t="inlineStr">
        <is>
          <t>RetailBanking</t>
        </is>
      </c>
      <c r="B1033" t="inlineStr">
        <is>
          <t>IMPS</t>
        </is>
      </c>
      <c r="C1033" t="inlineStr">
        <is>
          <t>IMPSOutwardstatusDetails.aspx</t>
        </is>
      </c>
      <c r="D1033" t="inlineStr">
        <is>
          <t>RetailBanking/IMPS/IMPSOutwardstatusDetails.aspx</t>
        </is>
      </c>
      <c r="E1033" t="inlineStr">
        <is>
          <t>Medium</t>
        </is>
      </c>
      <c r="F1033" s="25">
        <f>VLOOKUP(E1033,Assumptions!$A$5:$B$8,2,0)</f>
        <v/>
      </c>
    </row>
    <row r="1034">
      <c r="A1034" t="inlineStr">
        <is>
          <t>RetailBanking</t>
        </is>
      </c>
      <c r="B1034" t="inlineStr">
        <is>
          <t>IMPS</t>
        </is>
      </c>
      <c r="C1034" t="inlineStr">
        <is>
          <t>IMPS_Outward.aspx</t>
        </is>
      </c>
      <c r="D1034" t="inlineStr">
        <is>
          <t>RetailBanking/IMPS/IMPS_Outward.aspx</t>
        </is>
      </c>
      <c r="E1034" t="inlineStr">
        <is>
          <t>Medium</t>
        </is>
      </c>
      <c r="F1034" s="25">
        <f>VLOOKUP(E1034,Assumptions!$A$5:$B$8,2,0)</f>
        <v/>
      </c>
    </row>
    <row r="1035">
      <c r="A1035" t="inlineStr">
        <is>
          <t>RetailBanking</t>
        </is>
      </c>
      <c r="B1035" t="inlineStr">
        <is>
          <t>IMPS</t>
        </is>
      </c>
      <c r="C1035" t="inlineStr">
        <is>
          <t>imps_mmid_request.aspx</t>
        </is>
      </c>
      <c r="D1035" t="inlineStr">
        <is>
          <t>RetailBanking/IMPS/imps_mmid_request.aspx</t>
        </is>
      </c>
      <c r="E1035" t="inlineStr">
        <is>
          <t>Medium</t>
        </is>
      </c>
      <c r="F1035" s="25">
        <f>VLOOKUP(E1035,Assumptions!$A$5:$B$8,2,0)</f>
        <v/>
      </c>
    </row>
    <row r="1036">
      <c r="A1036" t="inlineStr">
        <is>
          <t>RetailBanking</t>
        </is>
      </c>
      <c r="B1036" t="inlineStr">
        <is>
          <t>IMPS</t>
        </is>
      </c>
      <c r="C1036" t="inlineStr">
        <is>
          <t>mobile_bankingreport.aspx</t>
        </is>
      </c>
      <c r="D1036" t="inlineStr">
        <is>
          <t>RetailBanking/IMPS/mobile_bankingreport.aspx</t>
        </is>
      </c>
      <c r="E1036" t="inlineStr">
        <is>
          <t>Report</t>
        </is>
      </c>
      <c r="F1036" s="25">
        <f>VLOOKUP(E1036,Assumptions!$A$5:$B$8,2,0)</f>
        <v/>
      </c>
    </row>
    <row r="1037">
      <c r="A1037" t="inlineStr">
        <is>
          <t>RetailBanking</t>
        </is>
      </c>
      <c r="B1037" t="inlineStr">
        <is>
          <t>IMPS</t>
        </is>
      </c>
      <c r="C1037" t="inlineStr">
        <is>
          <t>mobile_registeredClient.aspx</t>
        </is>
      </c>
      <c r="D1037" t="inlineStr">
        <is>
          <t>RetailBanking/IMPS/mobile_registeredClient.aspx</t>
        </is>
      </c>
      <c r="E1037" t="inlineStr">
        <is>
          <t>Medium</t>
        </is>
      </c>
      <c r="F1037" s="25">
        <f>VLOOKUP(E1037,Assumptions!$A$5:$B$8,2,0)</f>
        <v/>
      </c>
    </row>
    <row r="1038">
      <c r="A1038" t="inlineStr">
        <is>
          <t>RetailBanking</t>
        </is>
      </c>
      <c r="B1038" t="inlineStr">
        <is>
          <t>Insurance</t>
        </is>
      </c>
      <c r="C1038" t="inlineStr">
        <is>
          <t>c_LoanInsurance.aspx</t>
        </is>
      </c>
      <c r="D1038" t="inlineStr">
        <is>
          <t>RetailBanking/Insurance/c_LoanInsurance.aspx</t>
        </is>
      </c>
      <c r="E1038" t="inlineStr">
        <is>
          <t>Medium</t>
        </is>
      </c>
      <c r="F1038" s="25">
        <f>VLOOKUP(E1038,Assumptions!$A$5:$B$8,2,0)</f>
        <v/>
      </c>
    </row>
    <row r="1039">
      <c r="A1039" t="inlineStr">
        <is>
          <t>RetailBanking</t>
        </is>
      </c>
      <c r="B1039" t="inlineStr">
        <is>
          <t>InterestActivity</t>
        </is>
      </c>
      <c r="C1039" t="inlineStr">
        <is>
          <t>ATMServiceChargePosting_Calc.aspx</t>
        </is>
      </c>
      <c r="D1039" t="inlineStr">
        <is>
          <t>RetailBanking/InterestActivity/Charges/ATMServiceChargePosting_Calc.aspx</t>
        </is>
      </c>
      <c r="E1039" t="inlineStr">
        <is>
          <t>Medium</t>
        </is>
      </c>
      <c r="F1039" s="25">
        <f>VLOOKUP(E1039,Assumptions!$A$5:$B$8,2,0)</f>
        <v/>
      </c>
    </row>
    <row r="1040">
      <c r="A1040" t="inlineStr">
        <is>
          <t>RetailBanking</t>
        </is>
      </c>
      <c r="B1040" t="inlineStr">
        <is>
          <t>InterestActivity</t>
        </is>
      </c>
      <c r="C1040" t="inlineStr">
        <is>
          <t>CC_Unutilized_Limit_calc.aspx</t>
        </is>
      </c>
      <c r="D1040" t="inlineStr">
        <is>
          <t>RetailBanking/InterestActivity/Charges/CC_Unutilized_Limit_calc.aspx</t>
        </is>
      </c>
      <c r="E1040" t="inlineStr">
        <is>
          <t>Medium</t>
        </is>
      </c>
      <c r="F1040" s="25">
        <f>VLOOKUP(E1040,Assumptions!$A$5:$B$8,2,0)</f>
        <v/>
      </c>
    </row>
    <row r="1041">
      <c r="A1041" t="inlineStr">
        <is>
          <t>RetailBanking</t>
        </is>
      </c>
      <c r="B1041" t="inlineStr">
        <is>
          <t>InterestActivity</t>
        </is>
      </c>
      <c r="C1041" t="inlineStr">
        <is>
          <t>CashWithdrawalCharges_Calc.aspx</t>
        </is>
      </c>
      <c r="D1041" t="inlineStr">
        <is>
          <t>RetailBanking/InterestActivity/Charges/CashWithdrawalCharges_Calc.aspx</t>
        </is>
      </c>
      <c r="E1041" t="inlineStr">
        <is>
          <t>Medium</t>
        </is>
      </c>
      <c r="F1041" s="25">
        <f>VLOOKUP(E1041,Assumptions!$A$5:$B$8,2,0)</f>
        <v/>
      </c>
    </row>
    <row r="1042">
      <c r="A1042" t="inlineStr">
        <is>
          <t>RetailBanking</t>
        </is>
      </c>
      <c r="B1042" t="inlineStr">
        <is>
          <t>InterestActivity</t>
        </is>
      </c>
      <c r="C1042" t="inlineStr">
        <is>
          <t>Charges_Calc_Posting_V2.aspx</t>
        </is>
      </c>
      <c r="D1042" t="inlineStr">
        <is>
          <t>RetailBanking/InterestActivity/Charges/Charges_Calc_Posting_V2.aspx</t>
        </is>
      </c>
      <c r="E1042" t="inlineStr">
        <is>
          <t>Medium</t>
        </is>
      </c>
      <c r="F1042" s="25">
        <f>VLOOKUP(E1042,Assumptions!$A$5:$B$8,2,0)</f>
        <v/>
      </c>
    </row>
    <row r="1043">
      <c r="A1043" t="inlineStr">
        <is>
          <t>RetailBanking</t>
        </is>
      </c>
      <c r="B1043" t="inlineStr">
        <is>
          <t>InterestActivity</t>
        </is>
      </c>
      <c r="C1043" t="inlineStr">
        <is>
          <t>NonComplianceCharges_Calc_Posting.aspx</t>
        </is>
      </c>
      <c r="D1043" t="inlineStr">
        <is>
          <t>RetailBanking/InterestActivity/Charges/NonComplianceCharges_Calc_Posting.aspx</t>
        </is>
      </c>
      <c r="E1043" t="inlineStr">
        <is>
          <t>Medium</t>
        </is>
      </c>
      <c r="F1043" s="25">
        <f>VLOOKUP(E1043,Assumptions!$A$5:$B$8,2,0)</f>
        <v/>
      </c>
    </row>
    <row r="1044">
      <c r="A1044" t="inlineStr">
        <is>
          <t>RetailBanking</t>
        </is>
      </c>
      <c r="B1044" t="inlineStr">
        <is>
          <t>InterestActivity</t>
        </is>
      </c>
      <c r="C1044" t="inlineStr">
        <is>
          <t>NonStockStmtCharges_Calc_V2.aspx</t>
        </is>
      </c>
      <c r="D1044" t="inlineStr">
        <is>
          <t>RetailBanking/InterestActivity/Charges/NonStockStmtCharges_Calc_V2.aspx</t>
        </is>
      </c>
      <c r="E1044" t="inlineStr">
        <is>
          <t>Medium</t>
        </is>
      </c>
      <c r="F1044" s="25">
        <f>VLOOKUP(E1044,Assumptions!$A$5:$B$8,2,0)</f>
        <v/>
      </c>
    </row>
    <row r="1045">
      <c r="A1045" t="inlineStr">
        <is>
          <t>RetailBanking</t>
        </is>
      </c>
      <c r="B1045" t="inlineStr">
        <is>
          <t>InterestActivity</t>
        </is>
      </c>
      <c r="C1045" t="inlineStr">
        <is>
          <t>PigmyToLoanTrfCharges.aspx</t>
        </is>
      </c>
      <c r="D1045" t="inlineStr">
        <is>
          <t>RetailBanking/InterestActivity/Charges/PigmyToLoanTrfCharges.aspx</t>
        </is>
      </c>
      <c r="E1045" t="inlineStr">
        <is>
          <t>Medium</t>
        </is>
      </c>
      <c r="F1045" s="25">
        <f>VLOOKUP(E1045,Assumptions!$A$5:$B$8,2,0)</f>
        <v/>
      </c>
    </row>
    <row r="1046">
      <c r="A1046" t="inlineStr">
        <is>
          <t>RetailBanking</t>
        </is>
      </c>
      <c r="B1046" t="inlineStr">
        <is>
          <t>InterestActivity</t>
        </is>
      </c>
      <c r="C1046" t="inlineStr">
        <is>
          <t>QRCharges_Calc_Posting.aspx</t>
        </is>
      </c>
      <c r="D1046" t="inlineStr">
        <is>
          <t>RetailBanking/InterestActivity/Charges/QRCharges_Calc_Posting.aspx</t>
        </is>
      </c>
      <c r="E1046" t="inlineStr">
        <is>
          <t>Medium</t>
        </is>
      </c>
      <c r="F1046" s="25">
        <f>VLOOKUP(E1046,Assumptions!$A$5:$B$8,2,0)</f>
        <v/>
      </c>
    </row>
    <row r="1047">
      <c r="A1047" t="inlineStr">
        <is>
          <t>RetailBanking</t>
        </is>
      </c>
      <c r="B1047" t="inlineStr">
        <is>
          <t>InterestActivity</t>
        </is>
      </c>
      <c r="C1047" t="inlineStr">
        <is>
          <t>SMSChargesCalculation_V2.aspx</t>
        </is>
      </c>
      <c r="D1047" t="inlineStr">
        <is>
          <t>RetailBanking/InterestActivity/Charges/SMSChargesCalculation_V2.aspx</t>
        </is>
      </c>
      <c r="E1047" t="inlineStr">
        <is>
          <t>Medium</t>
        </is>
      </c>
      <c r="F1047" s="25">
        <f>VLOOKUP(E1047,Assumptions!$A$5:$B$8,2,0)</f>
        <v/>
      </c>
    </row>
    <row r="1048">
      <c r="A1048" t="inlineStr">
        <is>
          <t>RetailBanking</t>
        </is>
      </c>
      <c r="B1048" t="inlineStr">
        <is>
          <t>InterestActivity</t>
        </is>
      </c>
      <c r="C1048" t="inlineStr">
        <is>
          <t>StationaryCharges_Calc_PostingV1.aspx</t>
        </is>
      </c>
      <c r="D1048" t="inlineStr">
        <is>
          <t>RetailBanking/InterestActivity/Charges/StationaryCharges_Calc_PostingV1.aspx</t>
        </is>
      </c>
      <c r="E1048" t="inlineStr">
        <is>
          <t>Medium</t>
        </is>
      </c>
      <c r="F1048" s="25">
        <f>VLOOKUP(E1048,Assumptions!$A$5:$B$8,2,0)</f>
        <v/>
      </c>
    </row>
    <row r="1049">
      <c r="A1049" t="inlineStr">
        <is>
          <t>RetailBanking</t>
        </is>
      </c>
      <c r="B1049" t="inlineStr">
        <is>
          <t>InterestActivity</t>
        </is>
      </c>
      <c r="C1049" t="inlineStr">
        <is>
          <t>b_SubMemCharges.aspx</t>
        </is>
      </c>
      <c r="D1049" t="inlineStr">
        <is>
          <t>RetailBanking/InterestActivity/Charges/b_SubMemCharges.aspx</t>
        </is>
      </c>
      <c r="E1049" t="inlineStr">
        <is>
          <t>Medium</t>
        </is>
      </c>
      <c r="F1049" s="25">
        <f>VLOOKUP(E1049,Assumptions!$A$5:$B$8,2,0)</f>
        <v/>
      </c>
    </row>
    <row r="1050">
      <c r="A1050" t="inlineStr">
        <is>
          <t>RetailBanking</t>
        </is>
      </c>
      <c r="B1050" t="inlineStr">
        <is>
          <t>InterestActivity</t>
        </is>
      </c>
      <c r="C1050" t="inlineStr">
        <is>
          <t>c_DormantCharges_V2.aspx</t>
        </is>
      </c>
      <c r="D1050" t="inlineStr">
        <is>
          <t>RetailBanking/InterestActivity/Charges/c_DormantCharges_V2.aspx</t>
        </is>
      </c>
      <c r="E1050" t="inlineStr">
        <is>
          <t>Medium</t>
        </is>
      </c>
      <c r="F1050" s="25">
        <f>VLOOKUP(E1050,Assumptions!$A$5:$B$8,2,0)</f>
        <v/>
      </c>
    </row>
    <row r="1051">
      <c r="A1051" t="inlineStr">
        <is>
          <t>RetailBanking</t>
        </is>
      </c>
      <c r="B1051" t="inlineStr">
        <is>
          <t>InterestActivity</t>
        </is>
      </c>
      <c r="C1051" t="inlineStr">
        <is>
          <t>cc_NonRenewalcharges_calc_V2.aspx</t>
        </is>
      </c>
      <c r="D1051" t="inlineStr">
        <is>
          <t>RetailBanking/InterestActivity/Charges/cc_NonRenewalcharges_calc_V2.aspx</t>
        </is>
      </c>
      <c r="E1051" t="inlineStr">
        <is>
          <t>Medium</t>
        </is>
      </c>
      <c r="F1051" s="25">
        <f>VLOOKUP(E1051,Assumptions!$A$5:$B$8,2,0)</f>
        <v/>
      </c>
    </row>
    <row r="1052">
      <c r="A1052" t="inlineStr">
        <is>
          <t>RetailBanking</t>
        </is>
      </c>
      <c r="B1052" t="inlineStr">
        <is>
          <t>InterestActivity</t>
        </is>
      </c>
      <c r="C1052" t="inlineStr">
        <is>
          <t>x_AllbranchStatusLog.aspx</t>
        </is>
      </c>
      <c r="D1052" t="inlineStr">
        <is>
          <t>RetailBanking/InterestActivity/Charges/x_AllbranchStatusLog.aspx</t>
        </is>
      </c>
      <c r="E1052" t="inlineStr">
        <is>
          <t>Medium</t>
        </is>
      </c>
      <c r="F1052" s="25">
        <f>VLOOKUP(E1052,Assumptions!$A$5:$B$8,2,0)</f>
        <v/>
      </c>
    </row>
    <row r="1053">
      <c r="A1053" t="inlineStr">
        <is>
          <t>RetailBanking</t>
        </is>
      </c>
      <c r="B1053" t="inlineStr">
        <is>
          <t>InterestActivity</t>
        </is>
      </c>
      <c r="C1053" t="inlineStr">
        <is>
          <t>x_Charge_Calc_ForMinimumBalanceProvision_V2.aspx</t>
        </is>
      </c>
      <c r="D1053" t="inlineStr">
        <is>
          <t>RetailBanking/InterestActivity/Charges/x_Charge_Calc_ForMinimumBalanceProvision_V2.aspx</t>
        </is>
      </c>
      <c r="E1053" t="inlineStr">
        <is>
          <t>Medium</t>
        </is>
      </c>
      <c r="F1053" s="25">
        <f>VLOOKUP(E1053,Assumptions!$A$5:$B$8,2,0)</f>
        <v/>
      </c>
    </row>
    <row r="1054">
      <c r="A1054" t="inlineStr">
        <is>
          <t>RetailBanking</t>
        </is>
      </c>
      <c r="B1054" t="inlineStr">
        <is>
          <t>InterestActivity</t>
        </is>
      </c>
      <c r="C1054" t="inlineStr">
        <is>
          <t>x_ChargefreqCalc.aspx</t>
        </is>
      </c>
      <c r="D1054" t="inlineStr">
        <is>
          <t>RetailBanking/InterestActivity/Charges/x_ChargefreqCalc.aspx</t>
        </is>
      </c>
      <c r="E1054" t="inlineStr">
        <is>
          <t>Medium</t>
        </is>
      </c>
      <c r="F1054" s="25">
        <f>VLOOKUP(E1054,Assumptions!$A$5:$B$8,2,0)</f>
        <v/>
      </c>
    </row>
    <row r="1055">
      <c r="A1055" t="inlineStr">
        <is>
          <t>RetailBanking</t>
        </is>
      </c>
      <c r="B1055" t="inlineStr">
        <is>
          <t>InterestActivity</t>
        </is>
      </c>
      <c r="C1055" t="inlineStr">
        <is>
          <t>x_ChargesSelector.aspx</t>
        </is>
      </c>
      <c r="D1055" t="inlineStr">
        <is>
          <t>RetailBanking/InterestActivity/Charges/x_ChargesSelector.aspx</t>
        </is>
      </c>
      <c r="E1055" t="inlineStr">
        <is>
          <t>Medium</t>
        </is>
      </c>
      <c r="F1055" s="25">
        <f>VLOOKUP(E1055,Assumptions!$A$5:$B$8,2,0)</f>
        <v/>
      </c>
    </row>
    <row r="1056">
      <c r="A1056" t="inlineStr">
        <is>
          <t>RetailBanking</t>
        </is>
      </c>
      <c r="B1056" t="inlineStr">
        <is>
          <t>InterestActivity</t>
        </is>
      </c>
      <c r="C1056" t="inlineStr">
        <is>
          <t>x_CreditMonCharges_Calc.aspx</t>
        </is>
      </c>
      <c r="D1056" t="inlineStr">
        <is>
          <t>RetailBanking/InterestActivity/Charges/x_CreditMonCharges_Calc.aspx</t>
        </is>
      </c>
      <c r="E1056" t="inlineStr">
        <is>
          <t>Medium</t>
        </is>
      </c>
      <c r="F1056" s="25">
        <f>VLOOKUP(E1056,Assumptions!$A$5:$B$8,2,0)</f>
        <v/>
      </c>
    </row>
    <row r="1057">
      <c r="A1057" t="inlineStr">
        <is>
          <t>RetailBanking</t>
        </is>
      </c>
      <c r="B1057" t="inlineStr">
        <is>
          <t>InterestActivity</t>
        </is>
      </c>
      <c r="C1057" t="inlineStr">
        <is>
          <t>x_IMPSChargeProvision.aspx</t>
        </is>
      </c>
      <c r="D1057" t="inlineStr">
        <is>
          <t>RetailBanking/InterestActivity/Charges/x_IMPSChargeProvision.aspx</t>
        </is>
      </c>
      <c r="E1057" t="inlineStr">
        <is>
          <t>Medium</t>
        </is>
      </c>
      <c r="F1057" s="25">
        <f>VLOOKUP(E1057,Assumptions!$A$5:$B$8,2,0)</f>
        <v/>
      </c>
    </row>
    <row r="1058">
      <c r="A1058" t="inlineStr">
        <is>
          <t>RetailBanking</t>
        </is>
      </c>
      <c r="B1058" t="inlineStr">
        <is>
          <t>InterestActivity</t>
        </is>
      </c>
      <c r="C1058" t="inlineStr">
        <is>
          <t>x_LoanInsuranceCharges_Calc.aspx</t>
        </is>
      </c>
      <c r="D1058" t="inlineStr">
        <is>
          <t>RetailBanking/InterestActivity/Charges/x_LoanInsuranceCharges_Calc.aspx</t>
        </is>
      </c>
      <c r="E1058" t="inlineStr">
        <is>
          <t>Medium</t>
        </is>
      </c>
      <c r="F1058" s="25">
        <f>VLOOKUP(E1058,Assumptions!$A$5:$B$8,2,0)</f>
        <v/>
      </c>
    </row>
    <row r="1059">
      <c r="A1059" t="inlineStr">
        <is>
          <t>RetailBanking</t>
        </is>
      </c>
      <c r="B1059" t="inlineStr">
        <is>
          <t>InterestActivity</t>
        </is>
      </c>
      <c r="C1059" t="inlineStr">
        <is>
          <t>fd_int_calc_V1.aspx</t>
        </is>
      </c>
      <c r="D1059" t="inlineStr">
        <is>
          <t>RetailBanking/InterestActivity/FD/fd_int_calc_V1.aspx</t>
        </is>
      </c>
      <c r="E1059" t="inlineStr">
        <is>
          <t>Medium</t>
        </is>
      </c>
      <c r="F1059" s="25">
        <f>VLOOKUP(E1059,Assumptions!$A$5:$B$8,2,0)</f>
        <v/>
      </c>
    </row>
    <row r="1060">
      <c r="A1060" t="inlineStr">
        <is>
          <t>RetailBanking</t>
        </is>
      </c>
      <c r="B1060" t="inlineStr">
        <is>
          <t>InterestActivity</t>
        </is>
      </c>
      <c r="C1060" t="inlineStr">
        <is>
          <t>SavingInterestDetails.aspx</t>
        </is>
      </c>
      <c r="D1060" t="inlineStr">
        <is>
          <t>RetailBanking/InterestActivity/SavingInterestDetails.aspx</t>
        </is>
      </c>
      <c r="E1060" t="inlineStr">
        <is>
          <t>Medium</t>
        </is>
      </c>
      <c r="F1060" s="25">
        <f>VLOOKUP(E1060,Assumptions!$A$5:$B$8,2,0)</f>
        <v/>
      </c>
    </row>
    <row r="1061">
      <c r="A1061" t="inlineStr">
        <is>
          <t>RetailBanking</t>
        </is>
      </c>
      <c r="B1061" t="inlineStr">
        <is>
          <t>InterestActivity</t>
        </is>
      </c>
      <c r="C1061" t="inlineStr">
        <is>
          <t>TDS_int_calc.aspx</t>
        </is>
      </c>
      <c r="D1061" t="inlineStr">
        <is>
          <t>RetailBanking/InterestActivity/TDS/TDS_int_calc.aspx</t>
        </is>
      </c>
      <c r="E1061" t="inlineStr">
        <is>
          <t>Medium</t>
        </is>
      </c>
      <c r="F1061" s="25">
        <f>VLOOKUP(E1061,Assumptions!$A$5:$B$8,2,0)</f>
        <v/>
      </c>
    </row>
    <row r="1062">
      <c r="A1062" t="inlineStr">
        <is>
          <t>RetailBanking</t>
        </is>
      </c>
      <c r="B1062" t="inlineStr">
        <is>
          <t>InterestActivity</t>
        </is>
      </c>
      <c r="C1062" t="inlineStr">
        <is>
          <t>TDSallaccountDetails.aspx</t>
        </is>
      </c>
      <c r="D1062" t="inlineStr">
        <is>
          <t>RetailBanking/InterestActivity/TDS/TDSallaccountDetails.aspx</t>
        </is>
      </c>
      <c r="E1062" t="inlineStr">
        <is>
          <t>Medium</t>
        </is>
      </c>
      <c r="F1062" s="25">
        <f>VLOOKUP(E1062,Assumptions!$A$5:$B$8,2,0)</f>
        <v/>
      </c>
    </row>
    <row r="1063">
      <c r="A1063" t="inlineStr">
        <is>
          <t>RetailBanking</t>
        </is>
      </c>
      <c r="B1063" t="inlineStr">
        <is>
          <t>InterestActivity</t>
        </is>
      </c>
      <c r="C1063" t="inlineStr">
        <is>
          <t>TdsBranchwisedetails.aspx</t>
        </is>
      </c>
      <c r="D1063" t="inlineStr">
        <is>
          <t>RetailBanking/InterestActivity/TDS/TdsBranchwisedetails.aspx</t>
        </is>
      </c>
      <c r="E1063" t="inlineStr">
        <is>
          <t>Medium</t>
        </is>
      </c>
      <c r="F1063" s="25">
        <f>VLOOKUP(E1063,Assumptions!$A$5:$B$8,2,0)</f>
        <v/>
      </c>
    </row>
    <row r="1064">
      <c r="A1064" t="inlineStr">
        <is>
          <t>RetailBanking</t>
        </is>
      </c>
      <c r="B1064" t="inlineStr">
        <is>
          <t>InterestActivity</t>
        </is>
      </c>
      <c r="C1064" t="inlineStr">
        <is>
          <t>b_TdsChallanDetails.aspx</t>
        </is>
      </c>
      <c r="D1064" t="inlineStr">
        <is>
          <t>RetailBanking/InterestActivity/TDS/b_TdsChallanDetails.aspx</t>
        </is>
      </c>
      <c r="E1064" t="inlineStr">
        <is>
          <t>Medium</t>
        </is>
      </c>
      <c r="F1064" s="25">
        <f>VLOOKUP(E1064,Assumptions!$A$5:$B$8,2,0)</f>
        <v/>
      </c>
    </row>
    <row r="1065">
      <c r="A1065" t="inlineStr">
        <is>
          <t>RetailBanking</t>
        </is>
      </c>
      <c r="B1065" t="inlineStr">
        <is>
          <t>InterestActivity</t>
        </is>
      </c>
      <c r="C1065" t="inlineStr">
        <is>
          <t>x_TDS_PANABCCA.aspx</t>
        </is>
      </c>
      <c r="D1065" t="inlineStr">
        <is>
          <t>RetailBanking/InterestActivity/TDS/x_TDS_PANABCCA.aspx</t>
        </is>
      </c>
      <c r="E1065" t="inlineStr">
        <is>
          <t>Medium</t>
        </is>
      </c>
      <c r="F1065" s="25">
        <f>VLOOKUP(E1065,Assumptions!$A$5:$B$8,2,0)</f>
        <v/>
      </c>
    </row>
    <row r="1066">
      <c r="A1066" t="inlineStr">
        <is>
          <t>RetailBanking</t>
        </is>
      </c>
      <c r="B1066" t="inlineStr">
        <is>
          <t>InterestActivity</t>
        </is>
      </c>
      <c r="C1066" t="inlineStr">
        <is>
          <t>IntActPreChecker.aspx</t>
        </is>
      </c>
      <c r="D1066" t="inlineStr">
        <is>
          <t>RetailBanking/InterestActivity/lnccod/IntActPreChecker.aspx</t>
        </is>
      </c>
      <c r="E1066" t="inlineStr">
        <is>
          <t>Medium</t>
        </is>
      </c>
      <c r="F1066" s="25">
        <f>VLOOKUP(E1066,Assumptions!$A$5:$B$8,2,0)</f>
        <v/>
      </c>
    </row>
    <row r="1067">
      <c r="A1067" t="inlineStr">
        <is>
          <t>RetailBanking</t>
        </is>
      </c>
      <c r="B1067" t="inlineStr">
        <is>
          <t>InterestActivity</t>
        </is>
      </c>
      <c r="C1067" t="inlineStr">
        <is>
          <t>IntActPreCheckerLog_Popup.aspx</t>
        </is>
      </c>
      <c r="D1067" t="inlineStr">
        <is>
          <t>RetailBanking/InterestActivity/lnccod/IntActPreCheckerLog_Popup.aspx</t>
        </is>
      </c>
      <c r="E1067" t="inlineStr">
        <is>
          <t>Medium</t>
        </is>
      </c>
      <c r="F1067" s="25">
        <f>VLOOKUP(E1067,Assumptions!$A$5:$B$8,2,0)</f>
        <v/>
      </c>
    </row>
    <row r="1068">
      <c r="A1068" t="inlineStr">
        <is>
          <t>RetailBanking</t>
        </is>
      </c>
      <c r="B1068" t="inlineStr">
        <is>
          <t>InterestActivity</t>
        </is>
      </c>
      <c r="C1068" t="inlineStr">
        <is>
          <t>InterestRebate_calc.aspx</t>
        </is>
      </c>
      <c r="D1068" t="inlineStr">
        <is>
          <t>RetailBanking/InterestActivity/lnccod/InterestRebate_calc.aspx</t>
        </is>
      </c>
      <c r="E1068" t="inlineStr">
        <is>
          <t>Medium</t>
        </is>
      </c>
      <c r="F1068" s="25">
        <f>VLOOKUP(E1068,Assumptions!$A$5:$B$8,2,0)</f>
        <v/>
      </c>
    </row>
    <row r="1069">
      <c r="A1069" t="inlineStr">
        <is>
          <t>RetailBanking</t>
        </is>
      </c>
      <c r="B1069" t="inlineStr">
        <is>
          <t>InterestActivity</t>
        </is>
      </c>
      <c r="C1069" t="inlineStr">
        <is>
          <t>LNPenalPost.aspx</t>
        </is>
      </c>
      <c r="D1069" t="inlineStr">
        <is>
          <t>RetailBanking/InterestActivity/lnccod/LNPenalPost.aspx</t>
        </is>
      </c>
      <c r="E1069" t="inlineStr">
        <is>
          <t>Medium</t>
        </is>
      </c>
      <c r="F1069" s="25">
        <f>VLOOKUP(E1069,Assumptions!$A$5:$B$8,2,0)</f>
        <v/>
      </c>
    </row>
    <row r="1070">
      <c r="A1070" t="inlineStr">
        <is>
          <t>RetailBanking</t>
        </is>
      </c>
      <c r="B1070" t="inlineStr">
        <is>
          <t>InterestActivity</t>
        </is>
      </c>
      <c r="C1070" t="inlineStr">
        <is>
          <t>lnccod_int_calc_Popup_V1.aspx</t>
        </is>
      </c>
      <c r="D1070" t="inlineStr">
        <is>
          <t>RetailBanking/InterestActivity/lnccod/lnccod_int_calc_Popup_V1.aspx</t>
        </is>
      </c>
      <c r="E1070" t="inlineStr">
        <is>
          <t>Medium</t>
        </is>
      </c>
      <c r="F1070" s="25">
        <f>VLOOKUP(E1070,Assumptions!$A$5:$B$8,2,0)</f>
        <v/>
      </c>
    </row>
    <row r="1071">
      <c r="A1071" t="inlineStr">
        <is>
          <t>RetailBanking</t>
        </is>
      </c>
      <c r="B1071" t="inlineStr">
        <is>
          <t>InterestActivity</t>
        </is>
      </c>
      <c r="C1071" t="inlineStr">
        <is>
          <t>lnccod_int_calc_V1.aspx</t>
        </is>
      </c>
      <c r="D1071" t="inlineStr">
        <is>
          <t>RetailBanking/InterestActivity/lnccod/lnccod_int_calc_V1.aspx</t>
        </is>
      </c>
      <c r="E1071" t="inlineStr">
        <is>
          <t>Medium</t>
        </is>
      </c>
      <c r="F1071" s="25">
        <f>VLOOKUP(E1071,Assumptions!$A$5:$B$8,2,0)</f>
        <v/>
      </c>
    </row>
    <row r="1072">
      <c r="A1072" t="inlineStr">
        <is>
          <t>RetailBanking</t>
        </is>
      </c>
      <c r="B1072" t="inlineStr">
        <is>
          <t>InterestActivity</t>
        </is>
      </c>
      <c r="C1072" t="inlineStr">
        <is>
          <t>rd_int_calc_V1.aspx</t>
        </is>
      </c>
      <c r="D1072" t="inlineStr">
        <is>
          <t>RetailBanking/InterestActivity/rd/rd_int_calc_V1.aspx</t>
        </is>
      </c>
      <c r="E1072" t="inlineStr">
        <is>
          <t>Medium</t>
        </is>
      </c>
      <c r="F1072" s="25">
        <f>VLOOKUP(E1072,Assumptions!$A$5:$B$8,2,0)</f>
        <v/>
      </c>
    </row>
    <row r="1073">
      <c r="A1073" t="inlineStr">
        <is>
          <t>RetailBanking</t>
        </is>
      </c>
      <c r="B1073" t="inlineStr">
        <is>
          <t>InterestActivity</t>
        </is>
      </c>
      <c r="C1073" t="inlineStr">
        <is>
          <t>sb_int_calc_V2.aspx</t>
        </is>
      </c>
      <c r="D1073" t="inlineStr">
        <is>
          <t>RetailBanking/InterestActivity/sb/sb_int_calc_V2.aspx</t>
        </is>
      </c>
      <c r="E1073" t="inlineStr">
        <is>
          <t>Medium</t>
        </is>
      </c>
      <c r="F1073" s="25">
        <f>VLOOKUP(E1073,Assumptions!$A$5:$B$8,2,0)</f>
        <v/>
      </c>
    </row>
    <row r="1074">
      <c r="A1074" t="inlineStr">
        <is>
          <t>RetailBanking</t>
        </is>
      </c>
      <c r="B1074" t="inlineStr">
        <is>
          <t>InterestActivity</t>
        </is>
      </c>
      <c r="C1074" t="inlineStr">
        <is>
          <t>x_FDMatIntProv.aspx</t>
        </is>
      </c>
      <c r="D1074" t="inlineStr">
        <is>
          <t>RetailBanking/InterestActivity/x_FDMatIntProv.aspx</t>
        </is>
      </c>
      <c r="E1074" t="inlineStr">
        <is>
          <t>Medium</t>
        </is>
      </c>
      <c r="F1074" s="25">
        <f>VLOOKUP(E1074,Assumptions!$A$5:$B$8,2,0)</f>
        <v/>
      </c>
    </row>
    <row r="1075">
      <c r="A1075" t="inlineStr">
        <is>
          <t>RetailBanking</t>
        </is>
      </c>
      <c r="B1075" t="inlineStr">
        <is>
          <t>InterestActivity</t>
        </is>
      </c>
      <c r="C1075" t="inlineStr">
        <is>
          <t>x_FDMatIntProvLog.aspx</t>
        </is>
      </c>
      <c r="D1075" t="inlineStr">
        <is>
          <t>RetailBanking/InterestActivity/x_FDMatIntProvLog.aspx</t>
        </is>
      </c>
      <c r="E1075" t="inlineStr">
        <is>
          <t>Medium</t>
        </is>
      </c>
      <c r="F1075" s="25">
        <f>VLOOKUP(E1075,Assumptions!$A$5:$B$8,2,0)</f>
        <v/>
      </c>
    </row>
    <row r="1076">
      <c r="A1076" t="inlineStr">
        <is>
          <t>RetailBanking</t>
        </is>
      </c>
      <c r="B1076" t="inlineStr">
        <is>
          <t>InterestActivity</t>
        </is>
      </c>
      <c r="C1076" t="inlineStr">
        <is>
          <t>x_InvestmentInterestActivity.aspx</t>
        </is>
      </c>
      <c r="D1076" t="inlineStr">
        <is>
          <t>RetailBanking/InterestActivity/x_InvestmentInterestActivity.aspx</t>
        </is>
      </c>
      <c r="E1076" t="inlineStr">
        <is>
          <t>Medium</t>
        </is>
      </c>
      <c r="F1076" s="25">
        <f>VLOOKUP(E1076,Assumptions!$A$5:$B$8,2,0)</f>
        <v/>
      </c>
    </row>
    <row r="1077">
      <c r="A1077" t="inlineStr">
        <is>
          <t>RetailBanking</t>
        </is>
      </c>
      <c r="B1077" t="inlineStr">
        <is>
          <t>InterestActivity</t>
        </is>
      </c>
      <c r="C1077" t="inlineStr">
        <is>
          <t>x_NonOperativeInterestActivity.aspx</t>
        </is>
      </c>
      <c r="D1077" t="inlineStr">
        <is>
          <t>RetailBanking/InterestActivity/x_NonOperativeInterestActivity.aspx</t>
        </is>
      </c>
      <c r="E1077" t="inlineStr">
        <is>
          <t>Medium</t>
        </is>
      </c>
      <c r="F1077" s="25">
        <f>VLOOKUP(E1077,Assumptions!$A$5:$B$8,2,0)</f>
        <v/>
      </c>
    </row>
    <row r="1078">
      <c r="A1078" t="inlineStr">
        <is>
          <t>RetailBanking</t>
        </is>
      </c>
      <c r="B1078" t="inlineStr">
        <is>
          <t>InterestActivity</t>
        </is>
      </c>
      <c r="C1078" t="inlineStr">
        <is>
          <t>x_NonOperativeInterestActivity_V2.aspx</t>
        </is>
      </c>
      <c r="D1078" t="inlineStr">
        <is>
          <t>RetailBanking/InterestActivity/x_NonOperativeInterestActivity_V2.aspx</t>
        </is>
      </c>
      <c r="E1078" t="inlineStr">
        <is>
          <t>Medium</t>
        </is>
      </c>
      <c r="F1078" s="25">
        <f>VLOOKUP(E1078,Assumptions!$A$5:$B$8,2,0)</f>
        <v/>
      </c>
    </row>
    <row r="1079">
      <c r="A1079" t="inlineStr">
        <is>
          <t>RetailBanking</t>
        </is>
      </c>
      <c r="B1079" t="inlineStr">
        <is>
          <t>InterestActivity</t>
        </is>
      </c>
      <c r="C1079" t="inlineStr">
        <is>
          <t>x_SBInterestOnDemand.aspx</t>
        </is>
      </c>
      <c r="D1079" t="inlineStr">
        <is>
          <t>RetailBanking/InterestActivity/x_SBInterestOnDemand.aspx</t>
        </is>
      </c>
      <c r="E1079" t="inlineStr">
        <is>
          <t>Medium</t>
        </is>
      </c>
      <c r="F1079" s="25">
        <f>VLOOKUP(E1079,Assumptions!$A$5:$B$8,2,0)</f>
        <v/>
      </c>
    </row>
    <row r="1080">
      <c r="A1080" t="inlineStr">
        <is>
          <t>RetailBanking</t>
        </is>
      </c>
      <c r="B1080" t="inlineStr">
        <is>
          <t>InterestActivity</t>
        </is>
      </c>
      <c r="C1080" t="inlineStr">
        <is>
          <t>x_SavingInterestActivity.aspx</t>
        </is>
      </c>
      <c r="D1080" t="inlineStr">
        <is>
          <t>RetailBanking/InterestActivity/x_SavingInterestActivity.aspx</t>
        </is>
      </c>
      <c r="E1080" t="inlineStr">
        <is>
          <t>Medium</t>
        </is>
      </c>
      <c r="F1080" s="25">
        <f>VLOOKUP(E1080,Assumptions!$A$5:$B$8,2,0)</f>
        <v/>
      </c>
    </row>
    <row r="1081">
      <c r="A1081" t="inlineStr">
        <is>
          <t>RetailBanking</t>
        </is>
      </c>
      <c r="B1081" t="inlineStr">
        <is>
          <t>KYC</t>
        </is>
      </c>
      <c r="C1081" t="inlineStr">
        <is>
          <t>ClientsConsent.aspx</t>
        </is>
      </c>
      <c r="D1081" t="inlineStr">
        <is>
          <t>RetailBanking/KYC/ClientsConsent.aspx</t>
        </is>
      </c>
      <c r="E1081" t="inlineStr">
        <is>
          <t>Medium</t>
        </is>
      </c>
      <c r="F1081" s="25">
        <f>VLOOKUP(E1081,Assumptions!$A$5:$B$8,2,0)</f>
        <v/>
      </c>
    </row>
    <row r="1082">
      <c r="A1082" t="inlineStr">
        <is>
          <t>RetailBanking</t>
        </is>
      </c>
      <c r="B1082" t="inlineStr">
        <is>
          <t>KYC</t>
        </is>
      </c>
      <c r="C1082" t="inlineStr">
        <is>
          <t>KYCClientPopup_V1.aspx</t>
        </is>
      </c>
      <c r="D1082" t="inlineStr">
        <is>
          <t>RetailBanking/KYC/KYCClientPopup_V1.aspx</t>
        </is>
      </c>
      <c r="E1082" t="inlineStr">
        <is>
          <t>Medium</t>
        </is>
      </c>
      <c r="F1082" s="25">
        <f>VLOOKUP(E1082,Assumptions!$A$5:$B$8,2,0)</f>
        <v/>
      </c>
    </row>
    <row r="1083">
      <c r="A1083" t="inlineStr">
        <is>
          <t>RetailBanking</t>
        </is>
      </c>
      <c r="B1083" t="inlineStr">
        <is>
          <t>KYC</t>
        </is>
      </c>
      <c r="C1083" t="inlineStr">
        <is>
          <t>KYC_DashboardDetails.aspx</t>
        </is>
      </c>
      <c r="D1083" t="inlineStr">
        <is>
          <t>RetailBanking/KYC/KYC_DashboardDetails.aspx</t>
        </is>
      </c>
      <c r="E1083" t="inlineStr">
        <is>
          <t>Medium</t>
        </is>
      </c>
      <c r="F1083" s="25">
        <f>VLOOKUP(E1083,Assumptions!$A$5:$B$8,2,0)</f>
        <v/>
      </c>
    </row>
    <row r="1084">
      <c r="A1084" t="inlineStr">
        <is>
          <t>RetailBanking</t>
        </is>
      </c>
      <c r="B1084" t="inlineStr">
        <is>
          <t>KYC</t>
        </is>
      </c>
      <c r="C1084" t="inlineStr">
        <is>
          <t>kyc_Batch.aspx</t>
        </is>
      </c>
      <c r="D1084" t="inlineStr">
        <is>
          <t>RetailBanking/KYC/kyc_Batch.aspx</t>
        </is>
      </c>
      <c r="E1084" t="inlineStr">
        <is>
          <t>Medium</t>
        </is>
      </c>
      <c r="F1084" s="25">
        <f>VLOOKUP(E1084,Assumptions!$A$5:$B$8,2,0)</f>
        <v/>
      </c>
    </row>
    <row r="1085">
      <c r="A1085" t="inlineStr">
        <is>
          <t>RetailBanking</t>
        </is>
      </c>
      <c r="B1085" t="inlineStr">
        <is>
          <t>KYC</t>
        </is>
      </c>
      <c r="C1085" t="inlineStr">
        <is>
          <t>kyc_BulkDownloadGenFile.aspx</t>
        </is>
      </c>
      <c r="D1085" t="inlineStr">
        <is>
          <t>RetailBanking/KYC/kyc_BulkDownloadGenFile.aspx</t>
        </is>
      </c>
      <c r="E1085" t="inlineStr">
        <is>
          <t>Medium</t>
        </is>
      </c>
      <c r="F1085" s="25">
        <f>VLOOKUP(E1085,Assumptions!$A$5:$B$8,2,0)</f>
        <v/>
      </c>
    </row>
    <row r="1086">
      <c r="A1086" t="inlineStr">
        <is>
          <t>RetailBanking</t>
        </is>
      </c>
      <c r="B1086" t="inlineStr">
        <is>
          <t>KYC</t>
        </is>
      </c>
      <c r="C1086" t="inlineStr">
        <is>
          <t>kyc_BulkDownloadResponseFile.aspx</t>
        </is>
      </c>
      <c r="D1086" t="inlineStr">
        <is>
          <t>RetailBanking/KYC/kyc_BulkDownloadResponseFile.aspx</t>
        </is>
      </c>
      <c r="E1086" t="inlineStr">
        <is>
          <t>Medium</t>
        </is>
      </c>
      <c r="F1086" s="25">
        <f>VLOOKUP(E1086,Assumptions!$A$5:$B$8,2,0)</f>
        <v/>
      </c>
    </row>
    <row r="1087">
      <c r="A1087" t="inlineStr">
        <is>
          <t>RetailBanking</t>
        </is>
      </c>
      <c r="B1087" t="inlineStr">
        <is>
          <t>KYC</t>
        </is>
      </c>
      <c r="C1087" t="inlineStr">
        <is>
          <t>kyc_BulkFile.aspx</t>
        </is>
      </c>
      <c r="D1087" t="inlineStr">
        <is>
          <t>RetailBanking/KYC/kyc_BulkFile.aspx</t>
        </is>
      </c>
      <c r="E1087" t="inlineStr">
        <is>
          <t>Medium</t>
        </is>
      </c>
      <c r="F1087" s="25">
        <f>VLOOKUP(E1087,Assumptions!$A$5:$B$8,2,0)</f>
        <v/>
      </c>
    </row>
    <row r="1088">
      <c r="A1088" t="inlineStr">
        <is>
          <t>RetailBanking</t>
        </is>
      </c>
      <c r="B1088" t="inlineStr">
        <is>
          <t>KYC</t>
        </is>
      </c>
      <c r="C1088" t="inlineStr">
        <is>
          <t>kyc_BulkSearch.aspx</t>
        </is>
      </c>
      <c r="D1088" t="inlineStr">
        <is>
          <t>RetailBanking/KYC/kyc_BulkSearch.aspx</t>
        </is>
      </c>
      <c r="E1088" t="inlineStr">
        <is>
          <t>Medium</t>
        </is>
      </c>
      <c r="F1088" s="25">
        <f>VLOOKUP(E1088,Assumptions!$A$5:$B$8,2,0)</f>
        <v/>
      </c>
    </row>
    <row r="1089">
      <c r="A1089" t="inlineStr">
        <is>
          <t>RetailBanking</t>
        </is>
      </c>
      <c r="B1089" t="inlineStr">
        <is>
          <t>KYC</t>
        </is>
      </c>
      <c r="C1089" t="inlineStr">
        <is>
          <t>kyc_ClientAdditionalDetails.aspx</t>
        </is>
      </c>
      <c r="D1089" t="inlineStr">
        <is>
          <t>RetailBanking/KYC/kyc_ClientAdditionalDetails.aspx</t>
        </is>
      </c>
      <c r="E1089" t="inlineStr">
        <is>
          <t>Medium</t>
        </is>
      </c>
      <c r="F1089" s="25">
        <f>VLOOKUP(E1089,Assumptions!$A$5:$B$8,2,0)</f>
        <v/>
      </c>
    </row>
    <row r="1090">
      <c r="A1090" t="inlineStr">
        <is>
          <t>RetailBanking</t>
        </is>
      </c>
      <c r="B1090" t="inlineStr">
        <is>
          <t>KYC</t>
        </is>
      </c>
      <c r="C1090" t="inlineStr">
        <is>
          <t>kyc_ClientDetailsPopup.aspx</t>
        </is>
      </c>
      <c r="D1090" t="inlineStr">
        <is>
          <t>RetailBanking/KYC/kyc_ClientDetailsPopup.aspx</t>
        </is>
      </c>
      <c r="E1090" t="inlineStr">
        <is>
          <t>Medium</t>
        </is>
      </c>
      <c r="F1090" s="25">
        <f>VLOOKUP(E1090,Assumptions!$A$5:$B$8,2,0)</f>
        <v/>
      </c>
    </row>
    <row r="1091">
      <c r="A1091" t="inlineStr">
        <is>
          <t>RetailBanking</t>
        </is>
      </c>
      <c r="B1091" t="inlineStr">
        <is>
          <t>KYC</t>
        </is>
      </c>
      <c r="C1091" t="inlineStr">
        <is>
          <t>kyc_ClientValidationStatus.aspx</t>
        </is>
      </c>
      <c r="D1091" t="inlineStr">
        <is>
          <t>RetailBanking/KYC/kyc_ClientValidationStatus.aspx</t>
        </is>
      </c>
      <c r="E1091" t="inlineStr">
        <is>
          <t>Medium</t>
        </is>
      </c>
      <c r="F1091" s="25">
        <f>VLOOKUP(E1091,Assumptions!$A$5:$B$8,2,0)</f>
        <v/>
      </c>
    </row>
    <row r="1092">
      <c r="A1092" t="inlineStr">
        <is>
          <t>RetailBanking</t>
        </is>
      </c>
      <c r="B1092" t="inlineStr">
        <is>
          <t>KYC</t>
        </is>
      </c>
      <c r="C1092" t="inlineStr">
        <is>
          <t>kyc_Dashboard.aspx</t>
        </is>
      </c>
      <c r="D1092" t="inlineStr">
        <is>
          <t>RetailBanking/KYC/kyc_Dashboard.aspx</t>
        </is>
      </c>
      <c r="E1092" t="inlineStr">
        <is>
          <t>Medium</t>
        </is>
      </c>
      <c r="F1092" s="25">
        <f>VLOOKUP(E1092,Assumptions!$A$5:$B$8,2,0)</f>
        <v/>
      </c>
    </row>
    <row r="1093">
      <c r="A1093" t="inlineStr">
        <is>
          <t>RetailBanking</t>
        </is>
      </c>
      <c r="B1093" t="inlineStr">
        <is>
          <t>KYC</t>
        </is>
      </c>
      <c r="C1093" t="inlineStr">
        <is>
          <t>kyc_DocSnapPreview.aspx</t>
        </is>
      </c>
      <c r="D1093" t="inlineStr">
        <is>
          <t>RetailBanking/KYC/kyc_DocSnapPreview.aspx</t>
        </is>
      </c>
      <c r="E1093" t="inlineStr">
        <is>
          <t>Medium</t>
        </is>
      </c>
      <c r="F1093" s="25">
        <f>VLOOKUP(E1093,Assumptions!$A$5:$B$8,2,0)</f>
        <v/>
      </c>
    </row>
    <row r="1094">
      <c r="A1094" t="inlineStr">
        <is>
          <t>RetailBanking</t>
        </is>
      </c>
      <c r="B1094" t="inlineStr">
        <is>
          <t>KYC</t>
        </is>
      </c>
      <c r="C1094" t="inlineStr">
        <is>
          <t>kyc_DownloadBatch.aspx</t>
        </is>
      </c>
      <c r="D1094" t="inlineStr">
        <is>
          <t>RetailBanking/KYC/kyc_DownloadBatch.aspx</t>
        </is>
      </c>
      <c r="E1094" t="inlineStr">
        <is>
          <t>Medium</t>
        </is>
      </c>
      <c r="F1094" s="25">
        <f>VLOOKUP(E1094,Assumptions!$A$5:$B$8,2,0)</f>
        <v/>
      </c>
    </row>
    <row r="1095">
      <c r="A1095" t="inlineStr">
        <is>
          <t>RetailBanking</t>
        </is>
      </c>
      <c r="B1095" t="inlineStr">
        <is>
          <t>KYC</t>
        </is>
      </c>
      <c r="C1095" t="inlineStr">
        <is>
          <t>kyc_GetCustomerDetails.aspx</t>
        </is>
      </c>
      <c r="D1095" t="inlineStr">
        <is>
          <t>RetailBanking/KYC/kyc_GetCustomerDetails.aspx</t>
        </is>
      </c>
      <c r="E1095" t="inlineStr">
        <is>
          <t>Medium</t>
        </is>
      </c>
      <c r="F1095" s="25">
        <f>VLOOKUP(E1095,Assumptions!$A$5:$B$8,2,0)</f>
        <v/>
      </c>
    </row>
    <row r="1096">
      <c r="A1096" t="inlineStr">
        <is>
          <t>RetailBanking</t>
        </is>
      </c>
      <c r="B1096" t="inlineStr">
        <is>
          <t>KYC</t>
        </is>
      </c>
      <c r="C1096" t="inlineStr">
        <is>
          <t>kyc_Inward.aspx</t>
        </is>
      </c>
      <c r="D1096" t="inlineStr">
        <is>
          <t>RetailBanking/KYC/kyc_Inward.aspx</t>
        </is>
      </c>
      <c r="E1096" t="inlineStr">
        <is>
          <t>Medium</t>
        </is>
      </c>
      <c r="F1096" s="25">
        <f>VLOOKUP(E1096,Assumptions!$A$5:$B$8,2,0)</f>
        <v/>
      </c>
    </row>
    <row r="1097">
      <c r="A1097" t="inlineStr">
        <is>
          <t>RetailBanking</t>
        </is>
      </c>
      <c r="B1097" t="inlineStr">
        <is>
          <t>KYC</t>
        </is>
      </c>
      <c r="C1097" t="inlineStr">
        <is>
          <t>kyc_ReconcilePostResponseFile.aspx</t>
        </is>
      </c>
      <c r="D1097" t="inlineStr">
        <is>
          <t>RetailBanking/KYC/kyc_ReconcilePostResponseFile.aspx</t>
        </is>
      </c>
      <c r="E1097" t="inlineStr">
        <is>
          <t>Medium</t>
        </is>
      </c>
      <c r="F1097" s="25">
        <f>VLOOKUP(E1097,Assumptions!$A$5:$B$8,2,0)</f>
        <v/>
      </c>
    </row>
    <row r="1098">
      <c r="A1098" t="inlineStr">
        <is>
          <t>RetailBanking</t>
        </is>
      </c>
      <c r="B1098" t="inlineStr">
        <is>
          <t>KYC</t>
        </is>
      </c>
      <c r="C1098" t="inlineStr">
        <is>
          <t>kyc_ReconcileResponseFile.aspx</t>
        </is>
      </c>
      <c r="D1098" t="inlineStr">
        <is>
          <t>RetailBanking/KYC/kyc_ReconcileResponseFile.aspx</t>
        </is>
      </c>
      <c r="E1098" t="inlineStr">
        <is>
          <t>Medium</t>
        </is>
      </c>
      <c r="F1098" s="25">
        <f>VLOOKUP(E1098,Assumptions!$A$5:$B$8,2,0)</f>
        <v/>
      </c>
    </row>
    <row r="1099">
      <c r="A1099" t="inlineStr">
        <is>
          <t>RetailBanking</t>
        </is>
      </c>
      <c r="B1099" t="inlineStr"/>
      <c r="C1099" t="inlineStr">
        <is>
          <t>LNCCAutoIntAccrualUpdate.aspx</t>
        </is>
      </c>
      <c r="D1099" t="inlineStr">
        <is>
          <t>RetailBanking/LNCCAutoIntAccrualUpdate.aspx</t>
        </is>
      </c>
      <c r="E1099" t="inlineStr">
        <is>
          <t>Medium</t>
        </is>
      </c>
      <c r="F1099" s="25">
        <f>VLOOKUP(E1099,Assumptions!$A$5:$B$8,2,0)</f>
        <v/>
      </c>
    </row>
    <row r="1100">
      <c r="A1100" t="inlineStr">
        <is>
          <t>RetailBanking</t>
        </is>
      </c>
      <c r="B1100" t="inlineStr"/>
      <c r="C1100" t="inlineStr">
        <is>
          <t>LedgerNullifyContra.aspx</t>
        </is>
      </c>
      <c r="D1100" t="inlineStr">
        <is>
          <t>RetailBanking/LedgerNullifyContra.aspx</t>
        </is>
      </c>
      <c r="E1100" t="inlineStr">
        <is>
          <t>Medium</t>
        </is>
      </c>
      <c r="F1100" s="25">
        <f>VLOOKUP(E1100,Assumptions!$A$5:$B$8,2,0)</f>
        <v/>
      </c>
    </row>
    <row r="1101">
      <c r="A1101" t="inlineStr">
        <is>
          <t>RetailBanking</t>
        </is>
      </c>
      <c r="B1101" t="inlineStr">
        <is>
          <t>Legal</t>
        </is>
      </c>
      <c r="C1101" t="inlineStr">
        <is>
          <t>lg_Consultant.aspx</t>
        </is>
      </c>
      <c r="D1101" t="inlineStr">
        <is>
          <t>RetailBanking/Legal/lg_Consultant.aspx</t>
        </is>
      </c>
      <c r="E1101" t="inlineStr">
        <is>
          <t>Medium</t>
        </is>
      </c>
      <c r="F1101" s="25">
        <f>VLOOKUP(E1101,Assumptions!$A$5:$B$8,2,0)</f>
        <v/>
      </c>
    </row>
    <row r="1102">
      <c r="A1102" t="inlineStr">
        <is>
          <t>RetailBanking</t>
        </is>
      </c>
      <c r="B1102" t="inlineStr">
        <is>
          <t>Legal</t>
        </is>
      </c>
      <c r="C1102" t="inlineStr">
        <is>
          <t>lg_PoliceCase.aspx</t>
        </is>
      </c>
      <c r="D1102" t="inlineStr">
        <is>
          <t>RetailBanking/Legal/lg_PoliceCase.aspx</t>
        </is>
      </c>
      <c r="E1102" t="inlineStr">
        <is>
          <t>Medium</t>
        </is>
      </c>
      <c r="F1102" s="25">
        <f>VLOOKUP(E1102,Assumptions!$A$5:$B$8,2,0)</f>
        <v/>
      </c>
    </row>
    <row r="1103">
      <c r="A1103" t="inlineStr">
        <is>
          <t>RetailBanking</t>
        </is>
      </c>
      <c r="B1103" t="inlineStr">
        <is>
          <t>Legal</t>
        </is>
      </c>
      <c r="C1103" t="inlineStr">
        <is>
          <t>lg_SuitCase.aspx</t>
        </is>
      </c>
      <c r="D1103" t="inlineStr">
        <is>
          <t>RetailBanking/Legal/lg_SuitCase.aspx</t>
        </is>
      </c>
      <c r="E1103" t="inlineStr">
        <is>
          <t>Medium</t>
        </is>
      </c>
      <c r="F1103" s="25">
        <f>VLOOKUP(E1103,Assumptions!$A$5:$B$8,2,0)</f>
        <v/>
      </c>
    </row>
    <row r="1104">
      <c r="A1104" t="inlineStr">
        <is>
          <t>RetailBanking</t>
        </is>
      </c>
      <c r="B1104" t="inlineStr">
        <is>
          <t>Legal</t>
        </is>
      </c>
      <c r="C1104" t="inlineStr">
        <is>
          <t>lg_SuitCaseClosing.aspx</t>
        </is>
      </c>
      <c r="D1104" t="inlineStr">
        <is>
          <t>RetailBanking/Legal/lg_SuitCaseClosing.aspx</t>
        </is>
      </c>
      <c r="E1104" t="inlineStr">
        <is>
          <t>Medium</t>
        </is>
      </c>
      <c r="F1104" s="25">
        <f>VLOOKUP(E1104,Assumptions!$A$5:$B$8,2,0)</f>
        <v/>
      </c>
    </row>
    <row r="1105">
      <c r="A1105" t="inlineStr">
        <is>
          <t>RetailBanking</t>
        </is>
      </c>
      <c r="B1105" t="inlineStr">
        <is>
          <t>Legal</t>
        </is>
      </c>
      <c r="C1105" t="inlineStr">
        <is>
          <t>lg_SuitCaseHistory.aspx</t>
        </is>
      </c>
      <c r="D1105" t="inlineStr">
        <is>
          <t>RetailBanking/Legal/lg_SuitCaseHistory.aspx</t>
        </is>
      </c>
      <c r="E1105" t="inlineStr">
        <is>
          <t>Medium</t>
        </is>
      </c>
      <c r="F1105" s="25">
        <f>VLOOKUP(E1105,Assumptions!$A$5:$B$8,2,0)</f>
        <v/>
      </c>
    </row>
    <row r="1106">
      <c r="A1106" t="inlineStr">
        <is>
          <t>RetailBanking</t>
        </is>
      </c>
      <c r="B1106" t="inlineStr"/>
      <c r="C1106" t="inlineStr">
        <is>
          <t>LienNotationRelease.aspx</t>
        </is>
      </c>
      <c r="D1106" t="inlineStr">
        <is>
          <t>RetailBanking/LienNotationRelease.aspx</t>
        </is>
      </c>
      <c r="E1106" t="inlineStr">
        <is>
          <t>Medium</t>
        </is>
      </c>
      <c r="F1106" s="25">
        <f>VLOOKUP(E1106,Assumptions!$A$5:$B$8,2,0)</f>
        <v/>
      </c>
    </row>
    <row r="1107">
      <c r="A1107" t="inlineStr">
        <is>
          <t>RetailBanking</t>
        </is>
      </c>
      <c r="B1107" t="inlineStr"/>
      <c r="C1107" t="inlineStr">
        <is>
          <t>LoanAndAdvances.aspx</t>
        </is>
      </c>
      <c r="D1107" t="inlineStr">
        <is>
          <t>RetailBanking/LoanAndAdvances.aspx</t>
        </is>
      </c>
      <c r="E1107" t="inlineStr">
        <is>
          <t>Medium</t>
        </is>
      </c>
      <c r="F1107" s="25">
        <f>VLOOKUP(E1107,Assumptions!$A$5:$B$8,2,0)</f>
        <v/>
      </c>
    </row>
    <row r="1108">
      <c r="A1108" t="inlineStr">
        <is>
          <t>RetailBanking</t>
        </is>
      </c>
      <c r="B1108" t="inlineStr"/>
      <c r="C1108" t="inlineStr">
        <is>
          <t>LoanDisbursmentDebitCharges.aspx</t>
        </is>
      </c>
      <c r="D1108" t="inlineStr">
        <is>
          <t>RetailBanking/LoanDisbursmentDebitCharges.aspx</t>
        </is>
      </c>
      <c r="E1108" t="inlineStr">
        <is>
          <t>Medium</t>
        </is>
      </c>
      <c r="F1108" s="25">
        <f>VLOOKUP(E1108,Assumptions!$A$5:$B$8,2,0)</f>
        <v/>
      </c>
    </row>
    <row r="1109">
      <c r="A1109" t="inlineStr">
        <is>
          <t>RetailBanking</t>
        </is>
      </c>
      <c r="B1109" t="inlineStr"/>
      <c r="C1109" t="inlineStr">
        <is>
          <t>LoanInterestUpdation.aspx</t>
        </is>
      </c>
      <c r="D1109" t="inlineStr">
        <is>
          <t>RetailBanking/LoanInterestUpdation.aspx</t>
        </is>
      </c>
      <c r="E1109" t="inlineStr">
        <is>
          <t>Medium</t>
        </is>
      </c>
      <c r="F1109" s="25">
        <f>VLOOKUP(E1109,Assumptions!$A$5:$B$8,2,0)</f>
        <v/>
      </c>
    </row>
    <row r="1110">
      <c r="A1110" t="inlineStr">
        <is>
          <t>RetailBanking</t>
        </is>
      </c>
      <c r="B1110" t="inlineStr"/>
      <c r="C1110" t="inlineStr">
        <is>
          <t>LoanProductDetail.aspx</t>
        </is>
      </c>
      <c r="D1110" t="inlineStr">
        <is>
          <t>RetailBanking/LoanProductDetail.aspx</t>
        </is>
      </c>
      <c r="E1110" t="inlineStr">
        <is>
          <t>Medium</t>
        </is>
      </c>
      <c r="F1110" s="25">
        <f>VLOOKUP(E1110,Assumptions!$A$5:$B$8,2,0)</f>
        <v/>
      </c>
    </row>
    <row r="1111">
      <c r="A1111" t="inlineStr">
        <is>
          <t>RetailBanking</t>
        </is>
      </c>
      <c r="B1111" t="inlineStr"/>
      <c r="C1111" t="inlineStr">
        <is>
          <t>LosConfiguration.aspx</t>
        </is>
      </c>
      <c r="D1111" t="inlineStr">
        <is>
          <t>RetailBanking/LosConfiguration.aspx</t>
        </is>
      </c>
      <c r="E1111" t="inlineStr">
        <is>
          <t>Medium</t>
        </is>
      </c>
      <c r="F1111" s="25">
        <f>VLOOKUP(E1111,Assumptions!$A$5:$B$8,2,0)</f>
        <v/>
      </c>
    </row>
    <row r="1112">
      <c r="A1112" t="inlineStr">
        <is>
          <t>RetailBanking</t>
        </is>
      </c>
      <c r="B1112" t="inlineStr"/>
      <c r="C1112" t="inlineStr">
        <is>
          <t>MemberSharedLedger.aspx</t>
        </is>
      </c>
      <c r="D1112" t="inlineStr">
        <is>
          <t>RetailBanking/MemberSharedLedger.aspx</t>
        </is>
      </c>
      <c r="E1112" t="inlineStr">
        <is>
          <t>Medium</t>
        </is>
      </c>
      <c r="F1112" s="25">
        <f>VLOOKUP(E1112,Assumptions!$A$5:$B$8,2,0)</f>
        <v/>
      </c>
    </row>
    <row r="1113">
      <c r="A1113" t="inlineStr">
        <is>
          <t>RetailBanking</t>
        </is>
      </c>
      <c r="B1113" t="inlineStr"/>
      <c r="C1113" t="inlineStr">
        <is>
          <t>MinorTurnMajorLetterTemplate.aspx</t>
        </is>
      </c>
      <c r="D1113" t="inlineStr">
        <is>
          <t>RetailBanking/MinorTurnMajorLetterTemplate.aspx</t>
        </is>
      </c>
      <c r="E1113" t="inlineStr">
        <is>
          <t>Medium</t>
        </is>
      </c>
      <c r="F1113" s="25">
        <f>VLOOKUP(E1113,Assumptions!$A$5:$B$8,2,0)</f>
        <v/>
      </c>
    </row>
    <row r="1114">
      <c r="A1114" t="inlineStr">
        <is>
          <t>RetailBanking</t>
        </is>
      </c>
      <c r="B1114" t="inlineStr">
        <is>
          <t>NPA</t>
        </is>
      </c>
      <c r="C1114" t="inlineStr">
        <is>
          <t>DepositNPAcalc.aspx</t>
        </is>
      </c>
      <c r="D1114" t="inlineStr">
        <is>
          <t>RetailBanking/NPA/DepositNPAcalc.aspx</t>
        </is>
      </c>
      <c r="E1114" t="inlineStr">
        <is>
          <t>Medium</t>
        </is>
      </c>
      <c r="F1114" s="25">
        <f>VLOOKUP(E1114,Assumptions!$A$5:$B$8,2,0)</f>
        <v/>
      </c>
    </row>
    <row r="1115">
      <c r="A1115" t="inlineStr">
        <is>
          <t>RetailBanking</t>
        </is>
      </c>
      <c r="B1115" t="inlineStr">
        <is>
          <t>NPA</t>
        </is>
      </c>
      <c r="C1115" t="inlineStr">
        <is>
          <t>SubAccountNPAMarking.aspx</t>
        </is>
      </c>
      <c r="D1115" t="inlineStr">
        <is>
          <t>RetailBanking/NPA/SubAccountNPAMarking.aspx</t>
        </is>
      </c>
      <c r="E1115" t="inlineStr">
        <is>
          <t>Medium</t>
        </is>
      </c>
      <c r="F1115" s="25">
        <f>VLOOKUP(E1115,Assumptions!$A$5:$B$8,2,0)</f>
        <v/>
      </c>
    </row>
    <row r="1116">
      <c r="A1116" t="inlineStr">
        <is>
          <t>RetailBanking</t>
        </is>
      </c>
      <c r="B1116" t="inlineStr">
        <is>
          <t>NPA</t>
        </is>
      </c>
      <c r="C1116" t="inlineStr">
        <is>
          <t>b_NPAClassMaster.aspx</t>
        </is>
      </c>
      <c r="D1116" t="inlineStr">
        <is>
          <t>RetailBanking/NPA/b_NPAClassMaster.aspx</t>
        </is>
      </c>
      <c r="E1116" t="inlineStr">
        <is>
          <t>Medium</t>
        </is>
      </c>
      <c r="F1116" s="25">
        <f>VLOOKUP(E1116,Assumptions!$A$5:$B$8,2,0)</f>
        <v/>
      </c>
    </row>
    <row r="1117">
      <c r="A1117" t="inlineStr">
        <is>
          <t>RetailBanking</t>
        </is>
      </c>
      <c r="B1117" t="inlineStr">
        <is>
          <t>NPA</t>
        </is>
      </c>
      <c r="C1117" t="inlineStr">
        <is>
          <t>b_NPAMaster.aspx</t>
        </is>
      </c>
      <c r="D1117" t="inlineStr">
        <is>
          <t>RetailBanking/NPA/b_NPAMaster.aspx</t>
        </is>
      </c>
      <c r="E1117" t="inlineStr">
        <is>
          <t>Medium</t>
        </is>
      </c>
      <c r="F1117" s="25">
        <f>VLOOKUP(E1117,Assumptions!$A$5:$B$8,2,0)</f>
        <v/>
      </c>
    </row>
    <row r="1118">
      <c r="A1118" t="inlineStr">
        <is>
          <t>RetailBanking</t>
        </is>
      </c>
      <c r="B1118" t="inlineStr">
        <is>
          <t>NPA</t>
        </is>
      </c>
      <c r="C1118" t="inlineStr">
        <is>
          <t>b_NPAParameters.aspx</t>
        </is>
      </c>
      <c r="D1118" t="inlineStr">
        <is>
          <t>RetailBanking/NPA/b_NPAParameters.aspx</t>
        </is>
      </c>
      <c r="E1118" t="inlineStr">
        <is>
          <t>Medium</t>
        </is>
      </c>
      <c r="F1118" s="25">
        <f>VLOOKUP(E1118,Assumptions!$A$5:$B$8,2,0)</f>
        <v/>
      </c>
    </row>
    <row r="1119">
      <c r="A1119" t="inlineStr">
        <is>
          <t>RetailBanking</t>
        </is>
      </c>
      <c r="B1119" t="inlineStr">
        <is>
          <t>NPA</t>
        </is>
      </c>
      <c r="C1119" t="inlineStr">
        <is>
          <t>b_NPAReceivableRecAppr.aspx</t>
        </is>
      </c>
      <c r="D1119" t="inlineStr">
        <is>
          <t>RetailBanking/NPA/b_NPAReceivableRecAppr.aspx</t>
        </is>
      </c>
      <c r="E1119" t="inlineStr">
        <is>
          <t>Medium</t>
        </is>
      </c>
      <c r="F1119" s="25">
        <f>VLOOKUP(E1119,Assumptions!$A$5:$B$8,2,0)</f>
        <v/>
      </c>
    </row>
    <row r="1120">
      <c r="A1120" t="inlineStr">
        <is>
          <t>RetailBanking</t>
        </is>
      </c>
      <c r="B1120" t="inlineStr">
        <is>
          <t>NPA</t>
        </is>
      </c>
      <c r="C1120" t="inlineStr">
        <is>
          <t>c_ManualNPAStatUpdate.aspx</t>
        </is>
      </c>
      <c r="D1120" t="inlineStr">
        <is>
          <t>RetailBanking/NPA/c_ManualNPAStatUpdate.aspx</t>
        </is>
      </c>
      <c r="E1120" t="inlineStr">
        <is>
          <t>Medium</t>
        </is>
      </c>
      <c r="F1120" s="25">
        <f>VLOOKUP(E1120,Assumptions!$A$5:$B$8,2,0)</f>
        <v/>
      </c>
    </row>
    <row r="1121">
      <c r="A1121" t="inlineStr">
        <is>
          <t>RetailBanking</t>
        </is>
      </c>
      <c r="B1121" t="inlineStr">
        <is>
          <t>NPA</t>
        </is>
      </c>
      <c r="C1121" t="inlineStr">
        <is>
          <t>c_NPAAccountSetting.aspx</t>
        </is>
      </c>
      <c r="D1121" t="inlineStr">
        <is>
          <t>RetailBanking/NPA/c_NPAAccountSetting.aspx</t>
        </is>
      </c>
      <c r="E1121" t="inlineStr">
        <is>
          <t>Medium</t>
        </is>
      </c>
      <c r="F1121" s="25">
        <f>VLOOKUP(E1121,Assumptions!$A$5:$B$8,2,0)</f>
        <v/>
      </c>
    </row>
    <row r="1122">
      <c r="A1122" t="inlineStr">
        <is>
          <t>RetailBanking</t>
        </is>
      </c>
      <c r="B1122" t="inlineStr">
        <is>
          <t>NPA</t>
        </is>
      </c>
      <c r="C1122" t="inlineStr">
        <is>
          <t>c_NPAMethodMapping.aspx</t>
        </is>
      </c>
      <c r="D1122" t="inlineStr">
        <is>
          <t>RetailBanking/NPA/c_NPAMethodMapping.aspx</t>
        </is>
      </c>
      <c r="E1122" t="inlineStr">
        <is>
          <t>Medium</t>
        </is>
      </c>
      <c r="F1122" s="25">
        <f>VLOOKUP(E1122,Assumptions!$A$5:$B$8,2,0)</f>
        <v/>
      </c>
    </row>
    <row r="1123">
      <c r="A1123" t="inlineStr">
        <is>
          <t>RetailBanking</t>
        </is>
      </c>
      <c r="B1123" t="inlineStr">
        <is>
          <t>NPA</t>
        </is>
      </c>
      <c r="C1123" t="inlineStr">
        <is>
          <t>x_InvNPASetting.aspx</t>
        </is>
      </c>
      <c r="D1123" t="inlineStr">
        <is>
          <t>RetailBanking/NPA/x_InvNPASetting.aspx</t>
        </is>
      </c>
      <c r="E1123" t="inlineStr">
        <is>
          <t>Medium</t>
        </is>
      </c>
      <c r="F1123" s="25">
        <f>VLOOKUP(E1123,Assumptions!$A$5:$B$8,2,0)</f>
        <v/>
      </c>
    </row>
    <row r="1124">
      <c r="A1124" t="inlineStr">
        <is>
          <t>RetailBanking</t>
        </is>
      </c>
      <c r="B1124" t="inlineStr">
        <is>
          <t>NPA</t>
        </is>
      </c>
      <c r="C1124" t="inlineStr">
        <is>
          <t>x_NPACalculation.aspx</t>
        </is>
      </c>
      <c r="D1124" t="inlineStr">
        <is>
          <t>RetailBanking/NPA/x_NPACalculation.aspx</t>
        </is>
      </c>
      <c r="E1124" t="inlineStr">
        <is>
          <t>Medium</t>
        </is>
      </c>
      <c r="F1124" s="25">
        <f>VLOOKUP(E1124,Assumptions!$A$5:$B$8,2,0)</f>
        <v/>
      </c>
    </row>
    <row r="1125">
      <c r="A1125" t="inlineStr">
        <is>
          <t>RetailBanking</t>
        </is>
      </c>
      <c r="B1125" t="inlineStr">
        <is>
          <t>NPA</t>
        </is>
      </c>
      <c r="C1125" t="inlineStr">
        <is>
          <t>x_NPACalculationMulti_V2.aspx</t>
        </is>
      </c>
      <c r="D1125" t="inlineStr">
        <is>
          <t>RetailBanking/NPA/x_NPACalculationMulti_V2.aspx</t>
        </is>
      </c>
      <c r="E1125" t="inlineStr">
        <is>
          <t>Medium</t>
        </is>
      </c>
      <c r="F1125" s="25">
        <f>VLOOKUP(E1125,Assumptions!$A$5:$B$8,2,0)</f>
        <v/>
      </c>
    </row>
    <row r="1126">
      <c r="A1126" t="inlineStr">
        <is>
          <t>RetailBanking</t>
        </is>
      </c>
      <c r="B1126" t="inlineStr">
        <is>
          <t>NPA</t>
        </is>
      </c>
      <c r="C1126" t="inlineStr">
        <is>
          <t>x_NpaIntRevert.aspx</t>
        </is>
      </c>
      <c r="D1126" t="inlineStr">
        <is>
          <t>RetailBanking/NPA/x_NpaIntRevert.aspx</t>
        </is>
      </c>
      <c r="E1126" t="inlineStr">
        <is>
          <t>Medium</t>
        </is>
      </c>
      <c r="F1126" s="25">
        <f>VLOOKUP(E1126,Assumptions!$A$5:$B$8,2,0)</f>
        <v/>
      </c>
    </row>
    <row r="1127">
      <c r="A1127" t="inlineStr">
        <is>
          <t>RetailBanking</t>
        </is>
      </c>
      <c r="B1127" t="inlineStr">
        <is>
          <t>NPCI</t>
        </is>
      </c>
      <c r="C1127" t="inlineStr">
        <is>
          <t>npci_All_DisputeTransactionPosting.aspx</t>
        </is>
      </c>
      <c r="D1127" t="inlineStr">
        <is>
          <t>RetailBanking/NPCI/npci_All_DisputeTransactionPosting.aspx</t>
        </is>
      </c>
      <c r="E1127" t="inlineStr">
        <is>
          <t>Complex</t>
        </is>
      </c>
      <c r="F1127" s="25">
        <f>VLOOKUP(E1127,Assumptions!$A$5:$B$8,2,0)</f>
        <v/>
      </c>
    </row>
    <row r="1128">
      <c r="A1128" t="inlineStr">
        <is>
          <t>RetailBanking</t>
        </is>
      </c>
      <c r="B1128" t="inlineStr">
        <is>
          <t>NPCI</t>
        </is>
      </c>
      <c r="C1128" t="inlineStr">
        <is>
          <t>npci_All_DisputesImport.aspx</t>
        </is>
      </c>
      <c r="D1128" t="inlineStr">
        <is>
          <t>RetailBanking/NPCI/npci_All_DisputesImport.aspx</t>
        </is>
      </c>
      <c r="E1128" t="inlineStr">
        <is>
          <t>Medium</t>
        </is>
      </c>
      <c r="F1128" s="25">
        <f>VLOOKUP(E1128,Assumptions!$A$5:$B$8,2,0)</f>
        <v/>
      </c>
    </row>
    <row r="1129">
      <c r="A1129" t="inlineStr">
        <is>
          <t>RetailBanking</t>
        </is>
      </c>
      <c r="B1129" t="inlineStr"/>
      <c r="C1129" t="inlineStr">
        <is>
          <t>OfflineLedPost.aspx</t>
        </is>
      </c>
      <c r="D1129" t="inlineStr">
        <is>
          <t>RetailBanking/OfflineLedPost.aspx</t>
        </is>
      </c>
      <c r="E1129" t="inlineStr">
        <is>
          <t>Medium</t>
        </is>
      </c>
      <c r="F1129" s="25">
        <f>VLOOKUP(E1129,Assumptions!$A$5:$B$8,2,0)</f>
        <v/>
      </c>
    </row>
    <row r="1130">
      <c r="A1130" t="inlineStr">
        <is>
          <t>RetailBanking</t>
        </is>
      </c>
      <c r="B1130" t="inlineStr">
        <is>
          <t>PACS</t>
        </is>
      </c>
      <c r="C1130" t="inlineStr">
        <is>
          <t>x_PACSCropInsurance.aspx</t>
        </is>
      </c>
      <c r="D1130" t="inlineStr">
        <is>
          <t>RetailBanking/PACS/x_PACSCropInsurance.aspx</t>
        </is>
      </c>
      <c r="E1130" t="inlineStr">
        <is>
          <t>Medium</t>
        </is>
      </c>
      <c r="F1130" s="25">
        <f>VLOOKUP(E1130,Assumptions!$A$5:$B$8,2,0)</f>
        <v/>
      </c>
    </row>
    <row r="1131">
      <c r="A1131" t="inlineStr">
        <is>
          <t>RetailBanking</t>
        </is>
      </c>
      <c r="B1131" t="inlineStr">
        <is>
          <t>PACS</t>
        </is>
      </c>
      <c r="C1131" t="inlineStr">
        <is>
          <t>x_PACSMemberLedgerView.aspx</t>
        </is>
      </c>
      <c r="D1131" t="inlineStr">
        <is>
          <t>RetailBanking/PACS/x_PACSMemberLedgerView.aspx</t>
        </is>
      </c>
      <c r="E1131" t="inlineStr">
        <is>
          <t>Medium</t>
        </is>
      </c>
      <c r="F1131" s="25">
        <f>VLOOKUP(E1131,Assumptions!$A$5:$B$8,2,0)</f>
        <v/>
      </c>
    </row>
    <row r="1132">
      <c r="A1132" t="inlineStr">
        <is>
          <t>RetailBanking</t>
        </is>
      </c>
      <c r="B1132" t="inlineStr"/>
      <c r="C1132" t="inlineStr">
        <is>
          <t>PassBookParameterSetting.aspx</t>
        </is>
      </c>
      <c r="D1132" t="inlineStr">
        <is>
          <t>RetailBanking/PassBookParameterSetting.aspx</t>
        </is>
      </c>
      <c r="E1132" t="inlineStr">
        <is>
          <t>Medium</t>
        </is>
      </c>
      <c r="F1132" s="25">
        <f>VLOOKUP(E1132,Assumptions!$A$5:$B$8,2,0)</f>
        <v/>
      </c>
    </row>
    <row r="1133">
      <c r="A1133" t="inlineStr">
        <is>
          <t>RetailBanking</t>
        </is>
      </c>
      <c r="B1133" t="inlineStr"/>
      <c r="C1133" t="inlineStr">
        <is>
          <t>PassBookPrinting.aspx</t>
        </is>
      </c>
      <c r="D1133" t="inlineStr">
        <is>
          <t>RetailBanking/PassBookPrinting.aspx</t>
        </is>
      </c>
      <c r="E1133" t="inlineStr">
        <is>
          <t>Medium</t>
        </is>
      </c>
      <c r="F1133" s="25">
        <f>VLOOKUP(E1133,Assumptions!$A$5:$B$8,2,0)</f>
        <v/>
      </c>
    </row>
    <row r="1134">
      <c r="A1134" t="inlineStr">
        <is>
          <t>RetailBanking</t>
        </is>
      </c>
      <c r="B1134" t="inlineStr"/>
      <c r="C1134" t="inlineStr">
        <is>
          <t>PassbookPrint.aspx</t>
        </is>
      </c>
      <c r="D1134" t="inlineStr">
        <is>
          <t>RetailBanking/PassbookPrint.aspx</t>
        </is>
      </c>
      <c r="E1134" t="inlineStr">
        <is>
          <t>Medium</t>
        </is>
      </c>
      <c r="F1134" s="25">
        <f>VLOOKUP(E1134,Assumptions!$A$5:$B$8,2,0)</f>
        <v/>
      </c>
    </row>
    <row r="1135">
      <c r="A1135" t="inlineStr">
        <is>
          <t>RetailBanking</t>
        </is>
      </c>
      <c r="B1135" t="inlineStr"/>
      <c r="C1135" t="inlineStr">
        <is>
          <t>PresentPosition.aspx</t>
        </is>
      </c>
      <c r="D1135" t="inlineStr">
        <is>
          <t>RetailBanking/PresentPosition.aspx</t>
        </is>
      </c>
      <c r="E1135" t="inlineStr">
        <is>
          <t>Medium</t>
        </is>
      </c>
      <c r="F1135" s="25">
        <f>VLOOKUP(E1135,Assumptions!$A$5:$B$8,2,0)</f>
        <v/>
      </c>
    </row>
    <row r="1136">
      <c r="A1136" t="inlineStr">
        <is>
          <t>RetailBanking</t>
        </is>
      </c>
      <c r="B1136" t="inlineStr"/>
      <c r="C1136" t="inlineStr">
        <is>
          <t>PrintDDPO.aspx</t>
        </is>
      </c>
      <c r="D1136" t="inlineStr">
        <is>
          <t>RetailBanking/PrintDDPO.aspx</t>
        </is>
      </c>
      <c r="E1136" t="inlineStr">
        <is>
          <t>Medium</t>
        </is>
      </c>
      <c r="F1136" s="25">
        <f>VLOOKUP(E1136,Assumptions!$A$5:$B$8,2,0)</f>
        <v/>
      </c>
    </row>
    <row r="1137">
      <c r="A1137" t="inlineStr">
        <is>
          <t>RetailBanking</t>
        </is>
      </c>
      <c r="B1137" t="inlineStr">
        <is>
          <t>Printing</t>
        </is>
      </c>
      <c r="C1137" t="inlineStr">
        <is>
          <t>DepositSlipPrinting.aspx</t>
        </is>
      </c>
      <c r="D1137" t="inlineStr">
        <is>
          <t>RetailBanking/Printing/DepositSlipPrinting.aspx</t>
        </is>
      </c>
      <c r="E1137" t="inlineStr">
        <is>
          <t>Medium</t>
        </is>
      </c>
      <c r="F1137" s="25">
        <f>VLOOKUP(E1137,Assumptions!$A$5:$B$8,2,0)</f>
        <v/>
      </c>
    </row>
    <row r="1138">
      <c r="A1138" t="inlineStr">
        <is>
          <t>RetailBanking</t>
        </is>
      </c>
      <c r="B1138" t="inlineStr">
        <is>
          <t>Printing</t>
        </is>
      </c>
      <c r="C1138" t="inlineStr">
        <is>
          <t>LoanRepaymentReceipt.aspx</t>
        </is>
      </c>
      <c r="D1138" t="inlineStr">
        <is>
          <t>RetailBanking/Printing/LoanRepaymentReceipt.aspx</t>
        </is>
      </c>
      <c r="E1138" t="inlineStr">
        <is>
          <t>Medium</t>
        </is>
      </c>
      <c r="F1138" s="25">
        <f>VLOOKUP(E1138,Assumptions!$A$5:$B$8,2,0)</f>
        <v/>
      </c>
    </row>
    <row r="1139">
      <c r="A1139" t="inlineStr">
        <is>
          <t>RetailBanking</t>
        </is>
      </c>
      <c r="B1139" t="inlineStr">
        <is>
          <t>Printing</t>
        </is>
      </c>
      <c r="C1139" t="inlineStr">
        <is>
          <t>RecPrinting.aspx</t>
        </is>
      </c>
      <c r="D1139" t="inlineStr">
        <is>
          <t>RetailBanking/Printing/RecPrinting.aspx</t>
        </is>
      </c>
      <c r="E1139" t="inlineStr">
        <is>
          <t>Medium</t>
        </is>
      </c>
      <c r="F1139" s="25">
        <f>VLOOKUP(E1139,Assumptions!$A$5:$B$8,2,0)</f>
        <v/>
      </c>
    </row>
    <row r="1140">
      <c r="A1140" t="inlineStr">
        <is>
          <t>RetailBanking</t>
        </is>
      </c>
      <c r="B1140" t="inlineStr">
        <is>
          <t>RTGS</t>
        </is>
      </c>
      <c r="C1140" t="inlineStr">
        <is>
          <t>FundTransferMsgLog.aspx</t>
        </is>
      </c>
      <c r="D1140" t="inlineStr">
        <is>
          <t>RetailBanking/RTGS/FundTransferMsgLog.aspx</t>
        </is>
      </c>
      <c r="E1140" t="inlineStr">
        <is>
          <t>Medium</t>
        </is>
      </c>
      <c r="F1140" s="25">
        <f>VLOOKUP(E1140,Assumptions!$A$5:$B$8,2,0)</f>
        <v/>
      </c>
    </row>
    <row r="1141">
      <c r="A1141" t="inlineStr">
        <is>
          <t>RetailBanking</t>
        </is>
      </c>
      <c r="B1141" t="inlineStr">
        <is>
          <t>RTGS</t>
        </is>
      </c>
      <c r="C1141" t="inlineStr">
        <is>
          <t>Iftas24By7Neft.aspx</t>
        </is>
      </c>
      <c r="D1141" t="inlineStr">
        <is>
          <t>RetailBanking/RTGS/Iftas24By7Neft.aspx</t>
        </is>
      </c>
      <c r="E1141" t="inlineStr">
        <is>
          <t>Medium</t>
        </is>
      </c>
      <c r="F1141" s="25">
        <f>VLOOKUP(E1141,Assumptions!$A$5:$B$8,2,0)</f>
        <v/>
      </c>
    </row>
    <row r="1142">
      <c r="A1142" t="inlineStr">
        <is>
          <t>RetailBanking</t>
        </is>
      </c>
      <c r="B1142" t="inlineStr">
        <is>
          <t>RTGS</t>
        </is>
      </c>
      <c r="C1142" t="inlineStr">
        <is>
          <t>OutwardPayRetMark.aspx</t>
        </is>
      </c>
      <c r="D1142" t="inlineStr">
        <is>
          <t>RetailBanking/RTGS/OutwardPayRetMark.aspx</t>
        </is>
      </c>
      <c r="E1142" t="inlineStr">
        <is>
          <t>Medium</t>
        </is>
      </c>
      <c r="F1142" s="25">
        <f>VLOOKUP(E1142,Assumptions!$A$5:$B$8,2,0)</f>
        <v/>
      </c>
    </row>
    <row r="1143">
      <c r="A1143" t="inlineStr">
        <is>
          <t>RetailBanking</t>
        </is>
      </c>
      <c r="B1143" t="inlineStr">
        <is>
          <t>RTGS</t>
        </is>
      </c>
      <c r="C1143" t="inlineStr">
        <is>
          <t>RTGSEnquiry.aspx</t>
        </is>
      </c>
      <c r="D1143" t="inlineStr">
        <is>
          <t>RetailBanking/RTGS/RTGSEnquiry.aspx</t>
        </is>
      </c>
      <c r="E1143" t="inlineStr">
        <is>
          <t>Medium</t>
        </is>
      </c>
      <c r="F1143" s="25">
        <f>VLOOKUP(E1143,Assumptions!$A$5:$B$8,2,0)</f>
        <v/>
      </c>
    </row>
    <row r="1144">
      <c r="A1144" t="inlineStr">
        <is>
          <t>RetailBanking</t>
        </is>
      </c>
      <c r="B1144" t="inlineStr">
        <is>
          <t>RTGS</t>
        </is>
      </c>
      <c r="C1144" t="inlineStr">
        <is>
          <t>RTGSExport.aspx</t>
        </is>
      </c>
      <c r="D1144" t="inlineStr">
        <is>
          <t>RetailBanking/RTGS/RTGSExport.aspx</t>
        </is>
      </c>
      <c r="E1144" t="inlineStr">
        <is>
          <t>Medium</t>
        </is>
      </c>
      <c r="F1144" s="25">
        <f>VLOOKUP(E1144,Assumptions!$A$5:$B$8,2,0)</f>
        <v/>
      </c>
    </row>
    <row r="1145">
      <c r="A1145" t="inlineStr">
        <is>
          <t>RetailBanking</t>
        </is>
      </c>
      <c r="B1145" t="inlineStr">
        <is>
          <t>RTGS</t>
        </is>
      </c>
      <c r="C1145" t="inlineStr">
        <is>
          <t>RTGSExportNew.aspx</t>
        </is>
      </c>
      <c r="D1145" t="inlineStr">
        <is>
          <t>RetailBanking/RTGS/RTGSExportNew.aspx</t>
        </is>
      </c>
      <c r="E1145" t="inlineStr">
        <is>
          <t>Medium</t>
        </is>
      </c>
      <c r="F1145" s="25">
        <f>VLOOKUP(E1145,Assumptions!$A$5:$B$8,2,0)</f>
        <v/>
      </c>
    </row>
    <row r="1146">
      <c r="A1146" t="inlineStr">
        <is>
          <t>RetailBanking</t>
        </is>
      </c>
      <c r="B1146" t="inlineStr">
        <is>
          <t>RTGS</t>
        </is>
      </c>
      <c r="C1146" t="inlineStr">
        <is>
          <t>RTGSExportUtrDet.aspx</t>
        </is>
      </c>
      <c r="D1146" t="inlineStr">
        <is>
          <t>RetailBanking/RTGS/RTGSExportUtrDet.aspx</t>
        </is>
      </c>
      <c r="E1146" t="inlineStr">
        <is>
          <t>Medium</t>
        </is>
      </c>
      <c r="F1146" s="25">
        <f>VLOOKUP(E1146,Assumptions!$A$5:$B$8,2,0)</f>
        <v/>
      </c>
    </row>
    <row r="1147">
      <c r="A1147" t="inlineStr">
        <is>
          <t>RetailBanking</t>
        </is>
      </c>
      <c r="B1147" t="inlineStr">
        <is>
          <t>RTGS</t>
        </is>
      </c>
      <c r="C1147" t="inlineStr">
        <is>
          <t>RTGSImport.aspx</t>
        </is>
      </c>
      <c r="D1147" t="inlineStr">
        <is>
          <t>RetailBanking/RTGS/RTGSImport.aspx</t>
        </is>
      </c>
      <c r="E1147" t="inlineStr">
        <is>
          <t>Medium</t>
        </is>
      </c>
      <c r="F1147" s="25">
        <f>VLOOKUP(E1147,Assumptions!$A$5:$B$8,2,0)</f>
        <v/>
      </c>
    </row>
    <row r="1148">
      <c r="A1148" t="inlineStr">
        <is>
          <t>RetailBanking</t>
        </is>
      </c>
      <c r="B1148" t="inlineStr">
        <is>
          <t>RTGS</t>
        </is>
      </c>
      <c r="C1148" t="inlineStr">
        <is>
          <t>RTGSImportFileStatus.aspx</t>
        </is>
      </c>
      <c r="D1148" t="inlineStr">
        <is>
          <t>RetailBanking/RTGS/RTGSImportFileStatus.aspx</t>
        </is>
      </c>
      <c r="E1148" t="inlineStr">
        <is>
          <t>Medium</t>
        </is>
      </c>
      <c r="F1148" s="25">
        <f>VLOOKUP(E1148,Assumptions!$A$5:$B$8,2,0)</f>
        <v/>
      </c>
    </row>
    <row r="1149">
      <c r="A1149" t="inlineStr">
        <is>
          <t>RetailBanking</t>
        </is>
      </c>
      <c r="B1149" t="inlineStr">
        <is>
          <t>RTGS</t>
        </is>
      </c>
      <c r="C1149" t="inlineStr">
        <is>
          <t>RTGSImportReturn.aspx</t>
        </is>
      </c>
      <c r="D1149" t="inlineStr">
        <is>
          <t>RetailBanking/RTGS/RTGSImportReturn.aspx</t>
        </is>
      </c>
      <c r="E1149" t="inlineStr">
        <is>
          <t>Medium</t>
        </is>
      </c>
      <c r="F1149" s="25">
        <f>VLOOKUP(E1149,Assumptions!$A$5:$B$8,2,0)</f>
        <v/>
      </c>
    </row>
    <row r="1150">
      <c r="A1150" t="inlineStr">
        <is>
          <t>RetailBanking</t>
        </is>
      </c>
      <c r="B1150" t="inlineStr">
        <is>
          <t>RTGS</t>
        </is>
      </c>
      <c r="C1150" t="inlineStr">
        <is>
          <t>RTGSPayment.aspx</t>
        </is>
      </c>
      <c r="D1150" t="inlineStr">
        <is>
          <t>RetailBanking/RTGS/RTGSPayment.aspx</t>
        </is>
      </c>
      <c r="E1150" t="inlineStr">
        <is>
          <t>Medium</t>
        </is>
      </c>
      <c r="F1150" s="25">
        <f>VLOOKUP(E1150,Assumptions!$A$5:$B$8,2,0)</f>
        <v/>
      </c>
    </row>
    <row r="1151">
      <c r="A1151" t="inlineStr">
        <is>
          <t>RetailBanking</t>
        </is>
      </c>
      <c r="B1151" t="inlineStr">
        <is>
          <t>RTGS</t>
        </is>
      </c>
      <c r="C1151" t="inlineStr">
        <is>
          <t>RTGSPaymentReversalV1.aspx</t>
        </is>
      </c>
      <c r="D1151" t="inlineStr">
        <is>
          <t>RetailBanking/RTGS/RTGSPaymentReversalV1.aspx</t>
        </is>
      </c>
      <c r="E1151" t="inlineStr">
        <is>
          <t>Medium</t>
        </is>
      </c>
      <c r="F1151" s="25">
        <f>VLOOKUP(E1151,Assumptions!$A$5:$B$8,2,0)</f>
        <v/>
      </c>
    </row>
    <row r="1152">
      <c r="A1152" t="inlineStr">
        <is>
          <t>RetailBanking</t>
        </is>
      </c>
      <c r="B1152" t="inlineStr">
        <is>
          <t>RTGS</t>
        </is>
      </c>
      <c r="C1152" t="inlineStr">
        <is>
          <t>RTGSPaymentV2.aspx</t>
        </is>
      </c>
      <c r="D1152" t="inlineStr">
        <is>
          <t>RetailBanking/RTGS/RTGSPaymentV2.aspx</t>
        </is>
      </c>
      <c r="E1152" t="inlineStr">
        <is>
          <t>Medium</t>
        </is>
      </c>
      <c r="F1152" s="25">
        <f>VLOOKUP(E1152,Assumptions!$A$5:$B$8,2,0)</f>
        <v/>
      </c>
    </row>
    <row r="1153">
      <c r="A1153" t="inlineStr">
        <is>
          <t>RetailBanking</t>
        </is>
      </c>
      <c r="B1153" t="inlineStr">
        <is>
          <t>RTGS</t>
        </is>
      </c>
      <c r="C1153" t="inlineStr">
        <is>
          <t>RTGSPaymentV3.aspx</t>
        </is>
      </c>
      <c r="D1153" t="inlineStr">
        <is>
          <t>RetailBanking/RTGS/RTGSPaymentV3.aspx</t>
        </is>
      </c>
      <c r="E1153" t="inlineStr">
        <is>
          <t>Medium</t>
        </is>
      </c>
      <c r="F1153" s="25">
        <f>VLOOKUP(E1153,Assumptions!$A$5:$B$8,2,0)</f>
        <v/>
      </c>
    </row>
    <row r="1154">
      <c r="A1154" t="inlineStr">
        <is>
          <t>RetailBanking</t>
        </is>
      </c>
      <c r="B1154" t="inlineStr">
        <is>
          <t>RTGS</t>
        </is>
      </c>
      <c r="C1154" t="inlineStr">
        <is>
          <t>RTGSPaymentv1.aspx</t>
        </is>
      </c>
      <c r="D1154" t="inlineStr">
        <is>
          <t>RetailBanking/RTGS/RTGSPaymentv1.aspx</t>
        </is>
      </c>
      <c r="E1154" t="inlineStr">
        <is>
          <t>Medium</t>
        </is>
      </c>
      <c r="F1154" s="25">
        <f>VLOOKUP(E1154,Assumptions!$A$5:$B$8,2,0)</f>
        <v/>
      </c>
    </row>
    <row r="1155">
      <c r="A1155" t="inlineStr">
        <is>
          <t>RetailBanking</t>
        </is>
      </c>
      <c r="B1155" t="inlineStr">
        <is>
          <t>RTGS</t>
        </is>
      </c>
      <c r="C1155" t="inlineStr">
        <is>
          <t>RTGSResponseImport.aspx</t>
        </is>
      </c>
      <c r="D1155" t="inlineStr">
        <is>
          <t>RetailBanking/RTGS/RTGSResponseImport.aspx</t>
        </is>
      </c>
      <c r="E1155" t="inlineStr">
        <is>
          <t>Medium</t>
        </is>
      </c>
      <c r="F1155" s="25">
        <f>VLOOKUP(E1155,Assumptions!$A$5:$B$8,2,0)</f>
        <v/>
      </c>
    </row>
    <row r="1156">
      <c r="A1156" t="inlineStr">
        <is>
          <t>RetailBanking</t>
        </is>
      </c>
      <c r="B1156" t="inlineStr">
        <is>
          <t>RTGS</t>
        </is>
      </c>
      <c r="C1156" t="inlineStr">
        <is>
          <t>RTGSRetMark.aspx</t>
        </is>
      </c>
      <c r="D1156" t="inlineStr">
        <is>
          <t>RetailBanking/RTGS/RTGSRetMark.aspx</t>
        </is>
      </c>
      <c r="E1156" t="inlineStr">
        <is>
          <t>Medium</t>
        </is>
      </c>
      <c r="F1156" s="25">
        <f>VLOOKUP(E1156,Assumptions!$A$5:$B$8,2,0)</f>
        <v/>
      </c>
    </row>
    <row r="1157">
      <c r="A1157" t="inlineStr">
        <is>
          <t>RetailBanking</t>
        </is>
      </c>
      <c r="B1157" t="inlineStr">
        <is>
          <t>RTGS</t>
        </is>
      </c>
      <c r="C1157" t="inlineStr">
        <is>
          <t>RtgsIftsDashEnqForm.aspx</t>
        </is>
      </c>
      <c r="D1157" t="inlineStr">
        <is>
          <t>RetailBanking/RTGS/RtgsIftsDashEnqForm.aspx</t>
        </is>
      </c>
      <c r="E1157" t="inlineStr">
        <is>
          <t>Medium</t>
        </is>
      </c>
      <c r="F1157" s="25">
        <f>VLOOKUP(E1157,Assumptions!$A$5:$B$8,2,0)</f>
        <v/>
      </c>
    </row>
    <row r="1158">
      <c r="A1158" t="inlineStr">
        <is>
          <t>RetailBanking</t>
        </is>
      </c>
      <c r="B1158" t="inlineStr">
        <is>
          <t>RTGS</t>
        </is>
      </c>
      <c r="C1158" t="inlineStr">
        <is>
          <t>RtgsIftsDashEnqFormPopUp.aspx</t>
        </is>
      </c>
      <c r="D1158" t="inlineStr">
        <is>
          <t>RetailBanking/RTGS/RtgsIftsDashEnqFormPopUp.aspx</t>
        </is>
      </c>
      <c r="E1158" t="inlineStr">
        <is>
          <t>Medium</t>
        </is>
      </c>
      <c r="F1158" s="25">
        <f>VLOOKUP(E1158,Assumptions!$A$5:$B$8,2,0)</f>
        <v/>
      </c>
    </row>
    <row r="1159">
      <c r="A1159" t="inlineStr">
        <is>
          <t>RetailBanking</t>
        </is>
      </c>
      <c r="B1159" t="inlineStr">
        <is>
          <t>RTGS</t>
        </is>
      </c>
      <c r="C1159" t="inlineStr">
        <is>
          <t>rtgspaymentbatch.aspx</t>
        </is>
      </c>
      <c r="D1159" t="inlineStr">
        <is>
          <t>RetailBanking/RTGS/rtgspaymentbatch.aspx</t>
        </is>
      </c>
      <c r="E1159" t="inlineStr">
        <is>
          <t>Medium</t>
        </is>
      </c>
      <c r="F1159" s="25">
        <f>VLOOKUP(E1159,Assumptions!$A$5:$B$8,2,0)</f>
        <v/>
      </c>
    </row>
    <row r="1160">
      <c r="A1160" t="inlineStr">
        <is>
          <t>RetailBanking</t>
        </is>
      </c>
      <c r="B1160" t="inlineStr">
        <is>
          <t>RTGS</t>
        </is>
      </c>
      <c r="C1160" t="inlineStr">
        <is>
          <t>rtgspaymentbatch_popup.aspx</t>
        </is>
      </c>
      <c r="D1160" t="inlineStr">
        <is>
          <t>RetailBanking/RTGS/rtgspaymentbatch_popup.aspx</t>
        </is>
      </c>
      <c r="E1160" t="inlineStr">
        <is>
          <t>Medium</t>
        </is>
      </c>
      <c r="F1160" s="25">
        <f>VLOOKUP(E1160,Assumptions!$A$5:$B$8,2,0)</f>
        <v/>
      </c>
    </row>
    <row r="1161">
      <c r="A1161" t="inlineStr">
        <is>
          <t>RetailBanking</t>
        </is>
      </c>
      <c r="B1161" t="inlineStr">
        <is>
          <t>RTGS</t>
        </is>
      </c>
      <c r="C1161" t="inlineStr">
        <is>
          <t>rtgspaymentbatch_upload.aspx</t>
        </is>
      </c>
      <c r="D1161" t="inlineStr">
        <is>
          <t>RetailBanking/RTGS/rtgspaymentbatch_upload.aspx</t>
        </is>
      </c>
      <c r="E1161" t="inlineStr">
        <is>
          <t>Medium</t>
        </is>
      </c>
      <c r="F1161" s="25">
        <f>VLOOKUP(E1161,Assumptions!$A$5:$B$8,2,0)</f>
        <v/>
      </c>
    </row>
    <row r="1162">
      <c r="A1162" t="inlineStr">
        <is>
          <t>RetailBanking</t>
        </is>
      </c>
      <c r="B1162" t="inlineStr">
        <is>
          <t>RTGS</t>
        </is>
      </c>
      <c r="C1162" t="inlineStr">
        <is>
          <t>x_RTGSRstrctDate.aspx</t>
        </is>
      </c>
      <c r="D1162" t="inlineStr">
        <is>
          <t>RetailBanking/RTGS/x_RTGSRstrctDate.aspx</t>
        </is>
      </c>
      <c r="E1162" t="inlineStr">
        <is>
          <t>Medium</t>
        </is>
      </c>
      <c r="F1162" s="25">
        <f>VLOOKUP(E1162,Assumptions!$A$5:$B$8,2,0)</f>
        <v/>
      </c>
    </row>
    <row r="1163">
      <c r="A1163" t="inlineStr">
        <is>
          <t>RetailBanking</t>
        </is>
      </c>
      <c r="B1163" t="inlineStr"/>
      <c r="C1163" t="inlineStr">
        <is>
          <t>SBIntCalcLogDetail.aspx</t>
        </is>
      </c>
      <c r="D1163" t="inlineStr">
        <is>
          <t>RetailBanking/SBIntCalcLogDetail.aspx</t>
        </is>
      </c>
      <c r="E1163" t="inlineStr">
        <is>
          <t>Medium</t>
        </is>
      </c>
      <c r="F1163" s="25">
        <f>VLOOKUP(E1163,Assumptions!$A$5:$B$8,2,0)</f>
        <v/>
      </c>
    </row>
    <row r="1164">
      <c r="A1164" t="inlineStr">
        <is>
          <t>RetailBanking</t>
        </is>
      </c>
      <c r="B1164" t="inlineStr">
        <is>
          <t>SI</t>
        </is>
      </c>
      <c r="C1164" t="inlineStr">
        <is>
          <t>standingInstructionProcessing.aspx</t>
        </is>
      </c>
      <c r="D1164" t="inlineStr">
        <is>
          <t>RetailBanking/SI/standingInstructionProcessing.aspx</t>
        </is>
      </c>
      <c r="E1164" t="inlineStr">
        <is>
          <t>Medium</t>
        </is>
      </c>
      <c r="F1164" s="25">
        <f>VLOOKUP(E1164,Assumptions!$A$5:$B$8,2,0)</f>
        <v/>
      </c>
    </row>
    <row r="1165">
      <c r="A1165" t="inlineStr">
        <is>
          <t>RetailBanking</t>
        </is>
      </c>
      <c r="B1165" t="inlineStr">
        <is>
          <t>SI</t>
        </is>
      </c>
      <c r="C1165" t="inlineStr">
        <is>
          <t>x_StandingInstruction.aspx</t>
        </is>
      </c>
      <c r="D1165" t="inlineStr">
        <is>
          <t>RetailBanking/SI/x_StandingInstruction.aspx</t>
        </is>
      </c>
      <c r="E1165" t="inlineStr">
        <is>
          <t>Medium</t>
        </is>
      </c>
      <c r="F1165" s="25">
        <f>VLOOKUP(E1165,Assumptions!$A$5:$B$8,2,0)</f>
        <v/>
      </c>
    </row>
    <row r="1166">
      <c r="A1166" t="inlineStr">
        <is>
          <t>RetailBanking</t>
        </is>
      </c>
      <c r="B1166" t="inlineStr">
        <is>
          <t>SMS</t>
        </is>
      </c>
      <c r="C1166" t="inlineStr">
        <is>
          <t>sms_registeredAccount.aspx</t>
        </is>
      </c>
      <c r="D1166" t="inlineStr">
        <is>
          <t>RetailBanking/SMS/sms_registeredAccount.aspx</t>
        </is>
      </c>
      <c r="E1166" t="inlineStr">
        <is>
          <t>Medium</t>
        </is>
      </c>
      <c r="F1166" s="25">
        <f>VLOOKUP(E1166,Assumptions!$A$5:$B$8,2,0)</f>
        <v/>
      </c>
    </row>
    <row r="1167">
      <c r="A1167" t="inlineStr">
        <is>
          <t>RetailBanking</t>
        </is>
      </c>
      <c r="B1167" t="inlineStr">
        <is>
          <t>SMS</t>
        </is>
      </c>
      <c r="C1167" t="inlineStr">
        <is>
          <t>sms_registeredAccountDetails.aspx</t>
        </is>
      </c>
      <c r="D1167" t="inlineStr">
        <is>
          <t>RetailBanking/SMS/sms_registeredAccountDetails.aspx</t>
        </is>
      </c>
      <c r="E1167" t="inlineStr">
        <is>
          <t>Medium</t>
        </is>
      </c>
      <c r="F1167" s="25">
        <f>VLOOKUP(E1167,Assumptions!$A$5:$B$8,2,0)</f>
        <v/>
      </c>
    </row>
    <row r="1168">
      <c r="A1168" t="inlineStr">
        <is>
          <t>RetailBanking</t>
        </is>
      </c>
      <c r="B1168" t="inlineStr"/>
      <c r="C1168" t="inlineStr">
        <is>
          <t>SearchUtility.aspx</t>
        </is>
      </c>
      <c r="D1168" t="inlineStr">
        <is>
          <t>RetailBanking/SearchUtility.aspx</t>
        </is>
      </c>
      <c r="E1168" t="inlineStr">
        <is>
          <t>Medium</t>
        </is>
      </c>
      <c r="F1168" s="25">
        <f>VLOOKUP(E1168,Assumptions!$A$5:$B$8,2,0)</f>
        <v/>
      </c>
    </row>
    <row r="1169">
      <c r="A1169" t="inlineStr">
        <is>
          <t>RetailBanking</t>
        </is>
      </c>
      <c r="B1169" t="inlineStr">
        <is>
          <t>ServiceTaxCalculation</t>
        </is>
      </c>
      <c r="C1169" t="inlineStr">
        <is>
          <t>serviceTaxCalculation.aspx</t>
        </is>
      </c>
      <c r="D1169" t="inlineStr">
        <is>
          <t>RetailBanking/ServiceTaxCalculation/serviceTaxCalculation.aspx</t>
        </is>
      </c>
      <c r="E1169" t="inlineStr">
        <is>
          <t>Medium</t>
        </is>
      </c>
      <c r="F1169" s="25">
        <f>VLOOKUP(E1169,Assumptions!$A$5:$B$8,2,0)</f>
        <v/>
      </c>
    </row>
    <row r="1170">
      <c r="A1170" t="inlineStr">
        <is>
          <t>RetailBanking</t>
        </is>
      </c>
      <c r="B1170" t="inlineStr">
        <is>
          <t>ServiceTaxCalculation</t>
        </is>
      </c>
      <c r="C1170" t="inlineStr">
        <is>
          <t>x_ServiceTaxAccountHeadMapping.aspx</t>
        </is>
      </c>
      <c r="D1170" t="inlineStr">
        <is>
          <t>RetailBanking/ServiceTaxCalculation/x_ServiceTaxAccountHeadMapping.aspx</t>
        </is>
      </c>
      <c r="E1170" t="inlineStr">
        <is>
          <t>Medium</t>
        </is>
      </c>
      <c r="F1170" s="25">
        <f>VLOOKUP(E1170,Assumptions!$A$5:$B$8,2,0)</f>
        <v/>
      </c>
    </row>
    <row r="1171">
      <c r="A1171" t="inlineStr">
        <is>
          <t>RetailBanking</t>
        </is>
      </c>
      <c r="B1171" t="inlineStr"/>
      <c r="C1171" t="inlineStr">
        <is>
          <t>SignaturePreview.aspx</t>
        </is>
      </c>
      <c r="D1171" t="inlineStr">
        <is>
          <t>RetailBanking/SignaturePreview.aspx</t>
        </is>
      </c>
      <c r="E1171" t="inlineStr">
        <is>
          <t>Medium</t>
        </is>
      </c>
      <c r="F1171" s="25">
        <f>VLOOKUP(E1171,Assumptions!$A$5:$B$8,2,0)</f>
        <v/>
      </c>
    </row>
    <row r="1172">
      <c r="A1172" t="inlineStr">
        <is>
          <t>RetailBanking</t>
        </is>
      </c>
      <c r="B1172" t="inlineStr"/>
      <c r="C1172" t="inlineStr">
        <is>
          <t>StatusModification.aspx</t>
        </is>
      </c>
      <c r="D1172" t="inlineStr">
        <is>
          <t>RetailBanking/StatusModification.aspx</t>
        </is>
      </c>
      <c r="E1172" t="inlineStr">
        <is>
          <t>Medium</t>
        </is>
      </c>
      <c r="F1172" s="25">
        <f>VLOOKUP(E1172,Assumptions!$A$5:$B$8,2,0)</f>
        <v/>
      </c>
    </row>
    <row r="1173">
      <c r="A1173" t="inlineStr">
        <is>
          <t>RetailBanking</t>
        </is>
      </c>
      <c r="B1173" t="inlineStr">
        <is>
          <t>TDS</t>
        </is>
      </c>
      <c r="C1173" t="inlineStr">
        <is>
          <t>d_TDSCalculation.aspx</t>
        </is>
      </c>
      <c r="D1173" t="inlineStr">
        <is>
          <t>RetailBanking/TDS/d_TDSCalculation.aspx</t>
        </is>
      </c>
      <c r="E1173" t="inlineStr">
        <is>
          <t>Medium</t>
        </is>
      </c>
      <c r="F1173" s="25">
        <f>VLOOKUP(E1173,Assumptions!$A$5:$B$8,2,0)</f>
        <v/>
      </c>
    </row>
    <row r="1174">
      <c r="A1174" t="inlineStr">
        <is>
          <t>RetailBanking</t>
        </is>
      </c>
      <c r="B1174" t="inlineStr">
        <is>
          <t>TDS</t>
        </is>
      </c>
      <c r="C1174" t="inlineStr">
        <is>
          <t>x_ManualTDSDeduction.aspx</t>
        </is>
      </c>
      <c r="D1174" t="inlineStr">
        <is>
          <t>RetailBanking/TDS/x_ManualTDSDeduction.aspx</t>
        </is>
      </c>
      <c r="E1174" t="inlineStr">
        <is>
          <t>Medium</t>
        </is>
      </c>
      <c r="F1174" s="25">
        <f>VLOOKUP(E1174,Assumptions!$A$5:$B$8,2,0)</f>
        <v/>
      </c>
    </row>
    <row r="1175">
      <c r="A1175" t="inlineStr">
        <is>
          <t>RetailBanking</t>
        </is>
      </c>
      <c r="B1175" t="inlineStr">
        <is>
          <t>TDS</t>
        </is>
      </c>
      <c r="C1175" t="inlineStr">
        <is>
          <t>x_ManualTDSReverse.aspx</t>
        </is>
      </c>
      <c r="D1175" t="inlineStr">
        <is>
          <t>RetailBanking/TDS/x_ManualTDSReverse.aspx</t>
        </is>
      </c>
      <c r="E1175" t="inlineStr">
        <is>
          <t>Medium</t>
        </is>
      </c>
      <c r="F1175" s="25">
        <f>VLOOKUP(E1175,Assumptions!$A$5:$B$8,2,0)</f>
        <v/>
      </c>
    </row>
    <row r="1176">
      <c r="A1176" t="inlineStr">
        <is>
          <t>RetailBanking</t>
        </is>
      </c>
      <c r="B1176" t="inlineStr">
        <is>
          <t>TDS</t>
        </is>
      </c>
      <c r="C1176" t="inlineStr">
        <is>
          <t>x_TDSLedger.aspx</t>
        </is>
      </c>
      <c r="D1176" t="inlineStr">
        <is>
          <t>RetailBanking/TDS/x_TDSLedger.aspx</t>
        </is>
      </c>
      <c r="E1176" t="inlineStr">
        <is>
          <t>Medium</t>
        </is>
      </c>
      <c r="F1176" s="25">
        <f>VLOOKUP(E1176,Assumptions!$A$5:$B$8,2,0)</f>
        <v/>
      </c>
    </row>
    <row r="1177">
      <c r="A1177" t="inlineStr">
        <is>
          <t>RetailBanking</t>
        </is>
      </c>
      <c r="B1177" t="inlineStr">
        <is>
          <t>Transaction</t>
        </is>
      </c>
      <c r="C1177" t="inlineStr">
        <is>
          <t>AccountDetailsView.aspx</t>
        </is>
      </c>
      <c r="D1177" t="inlineStr">
        <is>
          <t>RetailBanking/Transaction/AccountDetailsView.aspx</t>
        </is>
      </c>
      <c r="E1177" t="inlineStr">
        <is>
          <t>Complex</t>
        </is>
      </c>
      <c r="F1177" s="25">
        <f>VLOOKUP(E1177,Assumptions!$A$5:$B$8,2,0)</f>
        <v/>
      </c>
    </row>
    <row r="1178">
      <c r="A1178" t="inlineStr">
        <is>
          <t>RetailBanking</t>
        </is>
      </c>
      <c r="B1178" t="inlineStr">
        <is>
          <t>Transaction</t>
        </is>
      </c>
      <c r="C1178" t="inlineStr">
        <is>
          <t>AccountSearchByClient.aspx</t>
        </is>
      </c>
      <c r="D1178" t="inlineStr">
        <is>
          <t>RetailBanking/Transaction/AccountSearchByClient.aspx</t>
        </is>
      </c>
      <c r="E1178" t="inlineStr">
        <is>
          <t>Complex</t>
        </is>
      </c>
      <c r="F1178" s="25">
        <f>VLOOKUP(E1178,Assumptions!$A$5:$B$8,2,0)</f>
        <v/>
      </c>
    </row>
    <row r="1179">
      <c r="A1179" t="inlineStr">
        <is>
          <t>RetailBanking</t>
        </is>
      </c>
      <c r="B1179" t="inlineStr">
        <is>
          <t>Transaction</t>
        </is>
      </c>
      <c r="C1179" t="inlineStr">
        <is>
          <t>CCODAddLimitPopup.aspx</t>
        </is>
      </c>
      <c r="D1179" t="inlineStr">
        <is>
          <t>RetailBanking/Transaction/CCODAddLimitPopup.aspx</t>
        </is>
      </c>
      <c r="E1179" t="inlineStr">
        <is>
          <t>Complex</t>
        </is>
      </c>
      <c r="F1179" s="25">
        <f>VLOOKUP(E1179,Assumptions!$A$5:$B$8,2,0)</f>
        <v/>
      </c>
    </row>
    <row r="1180">
      <c r="A1180" t="inlineStr">
        <is>
          <t>RetailBanking</t>
        </is>
      </c>
      <c r="B1180" t="inlineStr">
        <is>
          <t>Transaction</t>
        </is>
      </c>
      <c r="C1180" t="inlineStr">
        <is>
          <t>ChargesRecView.aspx</t>
        </is>
      </c>
      <c r="D1180" t="inlineStr">
        <is>
          <t>RetailBanking/Transaction/ChargesRecView.aspx</t>
        </is>
      </c>
      <c r="E1180" t="inlineStr">
        <is>
          <t>Complex</t>
        </is>
      </c>
      <c r="F1180" s="25">
        <f>VLOOKUP(E1180,Assumptions!$A$5:$B$8,2,0)</f>
        <v/>
      </c>
    </row>
    <row r="1181">
      <c r="A1181" t="inlineStr">
        <is>
          <t>RetailBanking</t>
        </is>
      </c>
      <c r="B1181" t="inlineStr">
        <is>
          <t>Transaction</t>
        </is>
      </c>
      <c r="C1181" t="inlineStr">
        <is>
          <t>CheaueBookDetailsPopup.aspx</t>
        </is>
      </c>
      <c r="D1181" t="inlineStr">
        <is>
          <t>RetailBanking/Transaction/CheaueBookDetailsPopup.aspx</t>
        </is>
      </c>
      <c r="E1181" t="inlineStr">
        <is>
          <t>Complex</t>
        </is>
      </c>
      <c r="F1181" s="25">
        <f>VLOOKUP(E1181,Assumptions!$A$5:$B$8,2,0)</f>
        <v/>
      </c>
    </row>
    <row r="1182">
      <c r="A1182" t="inlineStr">
        <is>
          <t>RetailBanking</t>
        </is>
      </c>
      <c r="B1182" t="inlineStr">
        <is>
          <t>Transaction</t>
        </is>
      </c>
      <c r="C1182" t="inlineStr">
        <is>
          <t>DailyDepositBalanceTransferNew.aspx</t>
        </is>
      </c>
      <c r="D1182" t="inlineStr">
        <is>
          <t>RetailBanking/Transaction/DailyDepositBalanceTransferNew.aspx</t>
        </is>
      </c>
      <c r="E1182" t="inlineStr">
        <is>
          <t>Complex</t>
        </is>
      </c>
      <c r="F1182" s="25">
        <f>VLOOKUP(E1182,Assumptions!$A$5:$B$8,2,0)</f>
        <v/>
      </c>
    </row>
    <row r="1183">
      <c r="A1183" t="inlineStr">
        <is>
          <t>RetailBanking</t>
        </is>
      </c>
      <c r="B1183" t="inlineStr">
        <is>
          <t>Transaction</t>
        </is>
      </c>
      <c r="C1183" t="inlineStr">
        <is>
          <t>DebitMandateImagePreview.aspx</t>
        </is>
      </c>
      <c r="D1183" t="inlineStr">
        <is>
          <t>RetailBanking/Transaction/DebitMandateImagePreview.aspx</t>
        </is>
      </c>
      <c r="E1183" t="inlineStr">
        <is>
          <t>Complex</t>
        </is>
      </c>
      <c r="F1183" s="25">
        <f>VLOOKUP(E1183,Assumptions!$A$5:$B$8,2,0)</f>
        <v/>
      </c>
    </row>
    <row r="1184">
      <c r="A1184" t="inlineStr">
        <is>
          <t>RetailBanking</t>
        </is>
      </c>
      <c r="B1184" t="inlineStr">
        <is>
          <t>Transaction</t>
        </is>
      </c>
      <c r="C1184" t="inlineStr">
        <is>
          <t>DepAccountHistory.aspx</t>
        </is>
      </c>
      <c r="D1184" t="inlineStr">
        <is>
          <t>RetailBanking/Transaction/DepAccountHistory.aspx</t>
        </is>
      </c>
      <c r="E1184" t="inlineStr">
        <is>
          <t>Complex</t>
        </is>
      </c>
      <c r="F1184" s="25">
        <f>VLOOKUP(E1184,Assumptions!$A$5:$B$8,2,0)</f>
        <v/>
      </c>
    </row>
    <row r="1185">
      <c r="A1185" t="inlineStr">
        <is>
          <t>RetailBanking</t>
        </is>
      </c>
      <c r="B1185" t="inlineStr">
        <is>
          <t>Transaction</t>
        </is>
      </c>
      <c r="C1185" t="inlineStr">
        <is>
          <t>DepositLienIntSlab.aspx</t>
        </is>
      </c>
      <c r="D1185" t="inlineStr">
        <is>
          <t>RetailBanking/Transaction/DepositLienIntSlab.aspx</t>
        </is>
      </c>
      <c r="E1185" t="inlineStr">
        <is>
          <t>Complex</t>
        </is>
      </c>
      <c r="F1185" s="25">
        <f>VLOOKUP(E1185,Assumptions!$A$5:$B$8,2,0)</f>
        <v/>
      </c>
    </row>
    <row r="1186">
      <c r="A1186" t="inlineStr">
        <is>
          <t>RetailBanking</t>
        </is>
      </c>
      <c r="B1186" t="inlineStr">
        <is>
          <t>Transaction</t>
        </is>
      </c>
      <c r="C1186" t="inlineStr">
        <is>
          <t>ECSCrDrBatchDet.aspx</t>
        </is>
      </c>
      <c r="D1186" t="inlineStr">
        <is>
          <t>RetailBanking/Transaction/ECSCrDrBatchDet.aspx</t>
        </is>
      </c>
      <c r="E1186" t="inlineStr">
        <is>
          <t>Complex</t>
        </is>
      </c>
      <c r="F1186" s="25">
        <f>VLOOKUP(E1186,Assumptions!$A$5:$B$8,2,0)</f>
        <v/>
      </c>
    </row>
    <row r="1187">
      <c r="A1187" t="inlineStr">
        <is>
          <t>RetailBanking</t>
        </is>
      </c>
      <c r="B1187" t="inlineStr">
        <is>
          <t>Transaction</t>
        </is>
      </c>
      <c r="C1187" t="inlineStr">
        <is>
          <t>ExceptionalLogViewer.aspx</t>
        </is>
      </c>
      <c r="D1187" t="inlineStr">
        <is>
          <t>RetailBanking/Transaction/ExceptionalLogViewer.aspx</t>
        </is>
      </c>
      <c r="E1187" t="inlineStr">
        <is>
          <t>Complex</t>
        </is>
      </c>
      <c r="F1187" s="25">
        <f>VLOOKUP(E1187,Assumptions!$A$5:$B$8,2,0)</f>
        <v/>
      </c>
    </row>
    <row r="1188">
      <c r="A1188" t="inlineStr">
        <is>
          <t>RetailBanking</t>
        </is>
      </c>
      <c r="B1188" t="inlineStr">
        <is>
          <t>Transaction</t>
        </is>
      </c>
      <c r="C1188" t="inlineStr">
        <is>
          <t>IntPayWithdrawalPopup.aspx</t>
        </is>
      </c>
      <c r="D1188" t="inlineStr">
        <is>
          <t>RetailBanking/Transaction/IntPayWithdrawalPopup.aspx</t>
        </is>
      </c>
      <c r="E1188" t="inlineStr">
        <is>
          <t>Complex</t>
        </is>
      </c>
      <c r="F1188" s="25">
        <f>VLOOKUP(E1188,Assumptions!$A$5:$B$8,2,0)</f>
        <v/>
      </c>
    </row>
    <row r="1189">
      <c r="A1189" t="inlineStr">
        <is>
          <t>RetailBanking</t>
        </is>
      </c>
      <c r="B1189" t="inlineStr">
        <is>
          <t>Transaction</t>
        </is>
      </c>
      <c r="C1189" t="inlineStr">
        <is>
          <t>LienDetails.aspx</t>
        </is>
      </c>
      <c r="D1189" t="inlineStr">
        <is>
          <t>RetailBanking/Transaction/LienDetails.aspx</t>
        </is>
      </c>
      <c r="E1189" t="inlineStr">
        <is>
          <t>Complex</t>
        </is>
      </c>
      <c r="F1189" s="25">
        <f>VLOOKUP(E1189,Assumptions!$A$5:$B$8,2,0)</f>
        <v/>
      </c>
    </row>
    <row r="1190">
      <c r="A1190" t="inlineStr">
        <is>
          <t>RetailBanking</t>
        </is>
      </c>
      <c r="B1190" t="inlineStr">
        <is>
          <t>Transaction</t>
        </is>
      </c>
      <c r="C1190" t="inlineStr">
        <is>
          <t>LockerDetails.aspx</t>
        </is>
      </c>
      <c r="D1190" t="inlineStr">
        <is>
          <t>RetailBanking/Transaction/LockerDetails.aspx</t>
        </is>
      </c>
      <c r="E1190" t="inlineStr">
        <is>
          <t>Complex</t>
        </is>
      </c>
      <c r="F1190" s="25">
        <f>VLOOKUP(E1190,Assumptions!$A$5:$B$8,2,0)</f>
        <v/>
      </c>
    </row>
    <row r="1191">
      <c r="A1191" t="inlineStr">
        <is>
          <t>RetailBanking</t>
        </is>
      </c>
      <c r="B1191" t="inlineStr">
        <is>
          <t>Transaction</t>
        </is>
      </c>
      <c r="C1191" t="inlineStr">
        <is>
          <t>RelatedAccountSearchByClient.aspx</t>
        </is>
      </c>
      <c r="D1191" t="inlineStr">
        <is>
          <t>RetailBanking/Transaction/RelatedAccountSearchByClient.aspx</t>
        </is>
      </c>
      <c r="E1191" t="inlineStr">
        <is>
          <t>Complex</t>
        </is>
      </c>
      <c r="F1191" s="25">
        <f>VLOOKUP(E1191,Assumptions!$A$5:$B$8,2,0)</f>
        <v/>
      </c>
    </row>
    <row r="1192">
      <c r="A1192" t="inlineStr">
        <is>
          <t>RetailBanking</t>
        </is>
      </c>
      <c r="B1192" t="inlineStr">
        <is>
          <t>Transaction</t>
        </is>
      </c>
      <c r="C1192" t="inlineStr">
        <is>
          <t>SBCASecurityViewer.aspx</t>
        </is>
      </c>
      <c r="D1192" t="inlineStr">
        <is>
          <t>RetailBanking/Transaction/SBCASecurityViewer.aspx</t>
        </is>
      </c>
      <c r="E1192" t="inlineStr">
        <is>
          <t>Complex</t>
        </is>
      </c>
      <c r="F1192" s="25">
        <f>VLOOKUP(E1192,Assumptions!$A$5:$B$8,2,0)</f>
        <v/>
      </c>
    </row>
    <row r="1193">
      <c r="A1193" t="inlineStr">
        <is>
          <t>RetailBanking</t>
        </is>
      </c>
      <c r="B1193" t="inlineStr">
        <is>
          <t>Transaction</t>
        </is>
      </c>
      <c r="C1193" t="inlineStr">
        <is>
          <t>ShowFDInterestDetails.aspx</t>
        </is>
      </c>
      <c r="D1193" t="inlineStr">
        <is>
          <t>RetailBanking/Transaction/ShowFDInterestDetails.aspx</t>
        </is>
      </c>
      <c r="E1193" t="inlineStr">
        <is>
          <t>Complex</t>
        </is>
      </c>
      <c r="F1193" s="25">
        <f>VLOOKUP(E1193,Assumptions!$A$5:$B$8,2,0)</f>
        <v/>
      </c>
    </row>
    <row r="1194">
      <c r="A1194" t="inlineStr">
        <is>
          <t>RetailBanking</t>
        </is>
      </c>
      <c r="B1194" t="inlineStr">
        <is>
          <t>Transaction</t>
        </is>
      </c>
      <c r="C1194" t="inlineStr">
        <is>
          <t>ShowPigmyInterestDetails.aspx</t>
        </is>
      </c>
      <c r="D1194" t="inlineStr">
        <is>
          <t>RetailBanking/Transaction/ShowPigmyInterestDetails.aspx</t>
        </is>
      </c>
      <c r="E1194" t="inlineStr">
        <is>
          <t>Complex</t>
        </is>
      </c>
      <c r="F1194" s="25">
        <f>VLOOKUP(E1194,Assumptions!$A$5:$B$8,2,0)</f>
        <v/>
      </c>
    </row>
    <row r="1195">
      <c r="A1195" t="inlineStr">
        <is>
          <t>RetailBanking</t>
        </is>
      </c>
      <c r="B1195" t="inlineStr">
        <is>
          <t>Transaction</t>
        </is>
      </c>
      <c r="C1195" t="inlineStr">
        <is>
          <t>ShowRDInterestDetails.aspx</t>
        </is>
      </c>
      <c r="D1195" t="inlineStr">
        <is>
          <t>RetailBanking/Transaction/ShowRDInterestDetails.aspx</t>
        </is>
      </c>
      <c r="E1195" t="inlineStr">
        <is>
          <t>Complex</t>
        </is>
      </c>
      <c r="F1195" s="25">
        <f>VLOOKUP(E1195,Assumptions!$A$5:$B$8,2,0)</f>
        <v/>
      </c>
    </row>
    <row r="1196">
      <c r="A1196" t="inlineStr">
        <is>
          <t>RetailBanking</t>
        </is>
      </c>
      <c r="B1196" t="inlineStr">
        <is>
          <t>Transaction</t>
        </is>
      </c>
      <c r="C1196" t="inlineStr">
        <is>
          <t>SignaturePopup.aspx</t>
        </is>
      </c>
      <c r="D1196" t="inlineStr">
        <is>
          <t>RetailBanking/Transaction/SignaturePopup.aspx</t>
        </is>
      </c>
      <c r="E1196" t="inlineStr">
        <is>
          <t>Complex</t>
        </is>
      </c>
      <c r="F1196" s="25">
        <f>VLOOKUP(E1196,Assumptions!$A$5:$B$8,2,0)</f>
        <v/>
      </c>
    </row>
    <row r="1197">
      <c r="A1197" t="inlineStr">
        <is>
          <t>RetailBanking</t>
        </is>
      </c>
      <c r="B1197" t="inlineStr">
        <is>
          <t>Transaction</t>
        </is>
      </c>
      <c r="C1197" t="inlineStr">
        <is>
          <t>b_AccountClosingTransactionNew.aspx</t>
        </is>
      </c>
      <c r="D1197" t="inlineStr">
        <is>
          <t>RetailBanking/Transaction/b_AccountClosingTransactionNew.aspx</t>
        </is>
      </c>
      <c r="E1197" t="inlineStr">
        <is>
          <t>Complex</t>
        </is>
      </c>
      <c r="F1197" s="25">
        <f>VLOOKUP(E1197,Assumptions!$A$5:$B$8,2,0)</f>
        <v/>
      </c>
    </row>
    <row r="1198">
      <c r="A1198" t="inlineStr">
        <is>
          <t>RetailBanking</t>
        </is>
      </c>
      <c r="B1198" t="inlineStr">
        <is>
          <t>Transaction</t>
        </is>
      </c>
      <c r="C1198" t="inlineStr">
        <is>
          <t>b_AccountPartialClosingTransaction.aspx</t>
        </is>
      </c>
      <c r="D1198" t="inlineStr">
        <is>
          <t>RetailBanking/Transaction/b_AccountPartialClosingTransaction.aspx</t>
        </is>
      </c>
      <c r="E1198" t="inlineStr">
        <is>
          <t>Complex</t>
        </is>
      </c>
      <c r="F1198" s="25">
        <f>VLOOKUP(E1198,Assumptions!$A$5:$B$8,2,0)</f>
        <v/>
      </c>
    </row>
    <row r="1199">
      <c r="A1199" t="inlineStr">
        <is>
          <t>RetailBanking</t>
        </is>
      </c>
      <c r="B1199" t="inlineStr">
        <is>
          <t>Transaction</t>
        </is>
      </c>
      <c r="C1199" t="inlineStr">
        <is>
          <t>b_DailyDepositInterestCalculationNew.aspx</t>
        </is>
      </c>
      <c r="D1199" t="inlineStr">
        <is>
          <t>RetailBanking/Transaction/b_DailyDepositInterestCalculationNew.aspx</t>
        </is>
      </c>
      <c r="E1199" t="inlineStr">
        <is>
          <t>Complex</t>
        </is>
      </c>
      <c r="F1199" s="25">
        <f>VLOOKUP(E1199,Assumptions!$A$5:$B$8,2,0)</f>
        <v/>
      </c>
    </row>
    <row r="1200">
      <c r="A1200" t="inlineStr">
        <is>
          <t>RetailBanking</t>
        </is>
      </c>
      <c r="B1200" t="inlineStr">
        <is>
          <t>Transaction</t>
        </is>
      </c>
      <c r="C1200" t="inlineStr">
        <is>
          <t>b_InoperativeIR.aspx</t>
        </is>
      </c>
      <c r="D1200" t="inlineStr">
        <is>
          <t>RetailBanking/Transaction/b_InoperativeIR.aspx</t>
        </is>
      </c>
      <c r="E1200" t="inlineStr">
        <is>
          <t>Complex</t>
        </is>
      </c>
      <c r="F1200" s="25">
        <f>VLOOKUP(E1200,Assumptions!$A$5:$B$8,2,0)</f>
        <v/>
      </c>
    </row>
    <row r="1201">
      <c r="A1201" t="inlineStr">
        <is>
          <t>RetailBanking</t>
        </is>
      </c>
      <c r="B1201" t="inlineStr">
        <is>
          <t>Transaction</t>
        </is>
      </c>
      <c r="C1201" t="inlineStr">
        <is>
          <t>b_dailyClientAccountRenewal.aspx</t>
        </is>
      </c>
      <c r="D1201" t="inlineStr">
        <is>
          <t>RetailBanking/Transaction/b_dailyClientAccountRenewal.aspx</t>
        </is>
      </c>
      <c r="E1201" t="inlineStr">
        <is>
          <t>Complex</t>
        </is>
      </c>
      <c r="F1201" s="25">
        <f>VLOOKUP(E1201,Assumptions!$A$5:$B$8,2,0)</f>
        <v/>
      </c>
    </row>
    <row r="1202">
      <c r="A1202" t="inlineStr">
        <is>
          <t>RetailBanking</t>
        </is>
      </c>
      <c r="B1202" t="inlineStr">
        <is>
          <t>Transaction</t>
        </is>
      </c>
      <c r="C1202" t="inlineStr">
        <is>
          <t>d_MatDepClsTrf.aspx</t>
        </is>
      </c>
      <c r="D1202" t="inlineStr">
        <is>
          <t>RetailBanking/Transaction/d_MatDepClsTrf.aspx</t>
        </is>
      </c>
      <c r="E1202" t="inlineStr">
        <is>
          <t>Complex</t>
        </is>
      </c>
      <c r="F1202" s="25">
        <f>VLOOKUP(E1202,Assumptions!$A$5:$B$8,2,0)</f>
        <v/>
      </c>
    </row>
    <row r="1203">
      <c r="A1203" t="inlineStr">
        <is>
          <t>RetailBanking</t>
        </is>
      </c>
      <c r="B1203" t="inlineStr">
        <is>
          <t>Transaction</t>
        </is>
      </c>
      <c r="C1203" t="inlineStr">
        <is>
          <t>ecs_MandateReport.aspx</t>
        </is>
      </c>
      <c r="D1203" t="inlineStr">
        <is>
          <t>RetailBanking/Transaction/ecs_MandateReport.aspx</t>
        </is>
      </c>
      <c r="E1203" t="inlineStr">
        <is>
          <t>Report</t>
        </is>
      </c>
      <c r="F1203" s="25">
        <f>VLOOKUP(E1203,Assumptions!$A$5:$B$8,2,0)</f>
        <v/>
      </c>
    </row>
    <row r="1204">
      <c r="A1204" t="inlineStr">
        <is>
          <t>RetailBanking</t>
        </is>
      </c>
      <c r="B1204" t="inlineStr">
        <is>
          <t>Transaction</t>
        </is>
      </c>
      <c r="C1204" t="inlineStr">
        <is>
          <t>ibt_headmap.aspx</t>
        </is>
      </c>
      <c r="D1204" t="inlineStr">
        <is>
          <t>RetailBanking/Transaction/ibt_headmap.aspx</t>
        </is>
      </c>
      <c r="E1204" t="inlineStr">
        <is>
          <t>Complex</t>
        </is>
      </c>
      <c r="F1204" s="25">
        <f>VLOOKUP(E1204,Assumptions!$A$5:$B$8,2,0)</f>
        <v/>
      </c>
    </row>
    <row r="1205">
      <c r="A1205" t="inlineStr">
        <is>
          <t>RetailBanking</t>
        </is>
      </c>
      <c r="B1205" t="inlineStr">
        <is>
          <t>Transaction</t>
        </is>
      </c>
      <c r="C1205" t="inlineStr">
        <is>
          <t>sh_signature.aspx</t>
        </is>
      </c>
      <c r="D1205" t="inlineStr">
        <is>
          <t>RetailBanking/Transaction/sh_signature.aspx</t>
        </is>
      </c>
      <c r="E1205" t="inlineStr">
        <is>
          <t>Complex</t>
        </is>
      </c>
      <c r="F1205" s="25">
        <f>VLOOKUP(E1205,Assumptions!$A$5:$B$8,2,0)</f>
        <v/>
      </c>
    </row>
    <row r="1206">
      <c r="A1206" t="inlineStr">
        <is>
          <t>RetailBanking</t>
        </is>
      </c>
      <c r="B1206" t="inlineStr">
        <is>
          <t>Transaction</t>
        </is>
      </c>
      <c r="C1206" t="inlineStr">
        <is>
          <t>AccountSelector.aspx</t>
        </is>
      </c>
      <c r="D1206" t="inlineStr">
        <is>
          <t>RetailBanking/Transaction/userControls/AccountSelector.aspx</t>
        </is>
      </c>
      <c r="E1206" t="inlineStr">
        <is>
          <t>Complex</t>
        </is>
      </c>
      <c r="F1206" s="25">
        <f>VLOOKUP(E1206,Assumptions!$A$5:$B$8,2,0)</f>
        <v/>
      </c>
    </row>
    <row r="1207">
      <c r="A1207" t="inlineStr">
        <is>
          <t>RetailBanking</t>
        </is>
      </c>
      <c r="B1207" t="inlineStr">
        <is>
          <t>Transaction</t>
        </is>
      </c>
      <c r="C1207" t="inlineStr">
        <is>
          <t>x_AchSponsorTransactionPosting.aspx</t>
        </is>
      </c>
      <c r="D1207" t="inlineStr">
        <is>
          <t>RetailBanking/Transaction/x_AchSponsorTransactionPosting.aspx</t>
        </is>
      </c>
      <c r="E1207" t="inlineStr">
        <is>
          <t>Complex</t>
        </is>
      </c>
      <c r="F1207" s="25">
        <f>VLOOKUP(E1207,Assumptions!$A$5:$B$8,2,0)</f>
        <v/>
      </c>
    </row>
    <row r="1208">
      <c r="A1208" t="inlineStr">
        <is>
          <t>RetailBanking</t>
        </is>
      </c>
      <c r="B1208" t="inlineStr">
        <is>
          <t>Transaction</t>
        </is>
      </c>
      <c r="C1208" t="inlineStr">
        <is>
          <t>x_BatchTransactionTemplate.aspx</t>
        </is>
      </c>
      <c r="D1208" t="inlineStr">
        <is>
          <t>RetailBanking/Transaction/x_BatchTransactionTemplate.aspx</t>
        </is>
      </c>
      <c r="E1208" t="inlineStr">
        <is>
          <t>Complex</t>
        </is>
      </c>
      <c r="F1208" s="25">
        <f>VLOOKUP(E1208,Assumptions!$A$5:$B$8,2,0)</f>
        <v/>
      </c>
    </row>
    <row r="1209">
      <c r="A1209" t="inlineStr">
        <is>
          <t>RetailBanking</t>
        </is>
      </c>
      <c r="B1209" t="inlineStr">
        <is>
          <t>Transaction</t>
        </is>
      </c>
      <c r="C1209" t="inlineStr">
        <is>
          <t>x_CashBatchTransaction.aspx</t>
        </is>
      </c>
      <c r="D1209" t="inlineStr">
        <is>
          <t>RetailBanking/Transaction/x_CashBatchTransaction.aspx</t>
        </is>
      </c>
      <c r="E1209" t="inlineStr">
        <is>
          <t>Complex</t>
        </is>
      </c>
      <c r="F1209" s="25">
        <f>VLOOKUP(E1209,Assumptions!$A$5:$B$8,2,0)</f>
        <v/>
      </c>
    </row>
    <row r="1210">
      <c r="A1210" t="inlineStr">
        <is>
          <t>RetailBanking</t>
        </is>
      </c>
      <c r="B1210" t="inlineStr">
        <is>
          <t>Transaction</t>
        </is>
      </c>
      <c r="C1210" t="inlineStr">
        <is>
          <t>x_DailyDepositTransactionFromToDateAllnew.aspx</t>
        </is>
      </c>
      <c r="D1210" t="inlineStr">
        <is>
          <t>RetailBanking/Transaction/x_DailyDepositTransactionFromToDateAllnew.aspx</t>
        </is>
      </c>
      <c r="E1210" t="inlineStr">
        <is>
          <t>Complex</t>
        </is>
      </c>
      <c r="F1210" s="25">
        <f>VLOOKUP(E1210,Assumptions!$A$5:$B$8,2,0)</f>
        <v/>
      </c>
    </row>
    <row r="1211">
      <c r="A1211" t="inlineStr">
        <is>
          <t>RetailBanking</t>
        </is>
      </c>
      <c r="B1211" t="inlineStr">
        <is>
          <t>Transaction</t>
        </is>
      </c>
      <c r="C1211" t="inlineStr">
        <is>
          <t>x_DeafClaim.aspx</t>
        </is>
      </c>
      <c r="D1211" t="inlineStr">
        <is>
          <t>RetailBanking/Transaction/x_DeafClaim.aspx</t>
        </is>
      </c>
      <c r="E1211" t="inlineStr">
        <is>
          <t>Complex</t>
        </is>
      </c>
      <c r="F1211" s="25">
        <f>VLOOKUP(E1211,Assumptions!$A$5:$B$8,2,0)</f>
        <v/>
      </c>
    </row>
    <row r="1212">
      <c r="A1212" t="inlineStr">
        <is>
          <t>RetailBanking</t>
        </is>
      </c>
      <c r="B1212" t="inlineStr">
        <is>
          <t>Transaction</t>
        </is>
      </c>
      <c r="C1212" t="inlineStr">
        <is>
          <t>x_DemandGeneration.aspx</t>
        </is>
      </c>
      <c r="D1212" t="inlineStr">
        <is>
          <t>RetailBanking/Transaction/x_DemandGeneration.aspx</t>
        </is>
      </c>
      <c r="E1212" t="inlineStr">
        <is>
          <t>Complex</t>
        </is>
      </c>
      <c r="F1212" s="25">
        <f>VLOOKUP(E1212,Assumptions!$A$5:$B$8,2,0)</f>
        <v/>
      </c>
    </row>
    <row r="1213">
      <c r="A1213" t="inlineStr">
        <is>
          <t>RetailBanking</t>
        </is>
      </c>
      <c r="B1213" t="inlineStr">
        <is>
          <t>Transaction</t>
        </is>
      </c>
      <c r="C1213" t="inlineStr">
        <is>
          <t>x_DividendTransaction.aspx</t>
        </is>
      </c>
      <c r="D1213" t="inlineStr">
        <is>
          <t>RetailBanking/Transaction/x_DividendTransaction.aspx</t>
        </is>
      </c>
      <c r="E1213" t="inlineStr">
        <is>
          <t>Complex</t>
        </is>
      </c>
      <c r="F1213" s="25">
        <f>VLOOKUP(E1213,Assumptions!$A$5:$B$8,2,0)</f>
        <v/>
      </c>
    </row>
    <row r="1214">
      <c r="A1214" t="inlineStr">
        <is>
          <t>RetailBanking</t>
        </is>
      </c>
      <c r="B1214" t="inlineStr">
        <is>
          <t>Transaction</t>
        </is>
      </c>
      <c r="C1214" t="inlineStr">
        <is>
          <t>x_FDRAutoTransferTransaction.aspx</t>
        </is>
      </c>
      <c r="D1214" t="inlineStr">
        <is>
          <t>RetailBanking/Transaction/x_FDRAutoTransferTransaction.aspx</t>
        </is>
      </c>
      <c r="E1214" t="inlineStr">
        <is>
          <t>Complex</t>
        </is>
      </c>
      <c r="F1214" s="25">
        <f>VLOOKUP(E1214,Assumptions!$A$5:$B$8,2,0)</f>
        <v/>
      </c>
    </row>
    <row r="1215">
      <c r="A1215" t="inlineStr">
        <is>
          <t>RetailBanking</t>
        </is>
      </c>
      <c r="B1215" t="inlineStr">
        <is>
          <t>Transaction</t>
        </is>
      </c>
      <c r="C1215" t="inlineStr">
        <is>
          <t>x_FDRenewalTransaction.aspx</t>
        </is>
      </c>
      <c r="D1215" t="inlineStr">
        <is>
          <t>RetailBanking/Transaction/x_FDRenewalTransaction.aspx</t>
        </is>
      </c>
      <c r="E1215" t="inlineStr">
        <is>
          <t>Complex</t>
        </is>
      </c>
      <c r="F1215" s="25">
        <f>VLOOKUP(E1215,Assumptions!$A$5:$B$8,2,0)</f>
        <v/>
      </c>
    </row>
    <row r="1216">
      <c r="A1216" t="inlineStr">
        <is>
          <t>RetailBanking</t>
        </is>
      </c>
      <c r="B1216" t="inlineStr">
        <is>
          <t>Transaction</t>
        </is>
      </c>
      <c r="C1216" t="inlineStr">
        <is>
          <t>x_FdPayableCashPayment.aspx</t>
        </is>
      </c>
      <c r="D1216" t="inlineStr">
        <is>
          <t>RetailBanking/Transaction/x_FdPayableCashPayment.aspx</t>
        </is>
      </c>
      <c r="E1216" t="inlineStr">
        <is>
          <t>Complex</t>
        </is>
      </c>
      <c r="F1216" s="25">
        <f>VLOOKUP(E1216,Assumptions!$A$5:$B$8,2,0)</f>
        <v/>
      </c>
    </row>
    <row r="1217">
      <c r="A1217" t="inlineStr">
        <is>
          <t>RetailBanking</t>
        </is>
      </c>
      <c r="B1217" t="inlineStr">
        <is>
          <t>Transaction</t>
        </is>
      </c>
      <c r="C1217" t="inlineStr">
        <is>
          <t>x_GovSecInvestmentCategoryTransfer.aspx</t>
        </is>
      </c>
      <c r="D1217" t="inlineStr">
        <is>
          <t>RetailBanking/Transaction/x_GovSecInvestmentCategoryTransfer.aspx</t>
        </is>
      </c>
      <c r="E1217" t="inlineStr">
        <is>
          <t>Complex</t>
        </is>
      </c>
      <c r="F1217" s="25">
        <f>VLOOKUP(E1217,Assumptions!$A$5:$B$8,2,0)</f>
        <v/>
      </c>
    </row>
    <row r="1218">
      <c r="A1218" t="inlineStr">
        <is>
          <t>RetailBanking</t>
        </is>
      </c>
      <c r="B1218" t="inlineStr">
        <is>
          <t>Transaction</t>
        </is>
      </c>
      <c r="C1218" t="inlineStr">
        <is>
          <t>x_GovSecInvestmentEarmark.aspx</t>
        </is>
      </c>
      <c r="D1218" t="inlineStr">
        <is>
          <t>RetailBanking/Transaction/x_GovSecInvestmentEarmark.aspx</t>
        </is>
      </c>
      <c r="E1218" t="inlineStr">
        <is>
          <t>Complex</t>
        </is>
      </c>
      <c r="F1218" s="25">
        <f>VLOOKUP(E1218,Assumptions!$A$5:$B$8,2,0)</f>
        <v/>
      </c>
    </row>
    <row r="1219">
      <c r="A1219" t="inlineStr">
        <is>
          <t>RetailBanking</t>
        </is>
      </c>
      <c r="B1219" t="inlineStr">
        <is>
          <t>Transaction</t>
        </is>
      </c>
      <c r="C1219" t="inlineStr">
        <is>
          <t>x_GovSecInvestmentReleaseEarmark.aspx</t>
        </is>
      </c>
      <c r="D1219" t="inlineStr">
        <is>
          <t>RetailBanking/Transaction/x_GovSecInvestmentReleaseEarmark.aspx</t>
        </is>
      </c>
      <c r="E1219" t="inlineStr">
        <is>
          <t>Complex</t>
        </is>
      </c>
      <c r="F1219" s="25">
        <f>VLOOKUP(E1219,Assumptions!$A$5:$B$8,2,0)</f>
        <v/>
      </c>
    </row>
    <row r="1220">
      <c r="A1220" t="inlineStr">
        <is>
          <t>RetailBanking</t>
        </is>
      </c>
      <c r="B1220" t="inlineStr">
        <is>
          <t>Transaction</t>
        </is>
      </c>
      <c r="C1220" t="inlineStr">
        <is>
          <t>x_GovSecInvestmentTransfer.aspx</t>
        </is>
      </c>
      <c r="D1220" t="inlineStr">
        <is>
          <t>RetailBanking/Transaction/x_GovSecInvestmentTransfer.aspx</t>
        </is>
      </c>
      <c r="E1220" t="inlineStr">
        <is>
          <t>Complex</t>
        </is>
      </c>
      <c r="F1220" s="25">
        <f>VLOOKUP(E1220,Assumptions!$A$5:$B$8,2,0)</f>
        <v/>
      </c>
    </row>
    <row r="1221">
      <c r="A1221" t="inlineStr">
        <is>
          <t>RetailBanking</t>
        </is>
      </c>
      <c r="B1221" t="inlineStr">
        <is>
          <t>Transaction</t>
        </is>
      </c>
      <c r="C1221" t="inlineStr">
        <is>
          <t>x_GovtSecInvestmentImport.aspx</t>
        </is>
      </c>
      <c r="D1221" t="inlineStr">
        <is>
          <t>RetailBanking/Transaction/x_GovtSecInvestmentImport.aspx</t>
        </is>
      </c>
      <c r="E1221" t="inlineStr">
        <is>
          <t>Complex</t>
        </is>
      </c>
      <c r="F1221" s="25">
        <f>VLOOKUP(E1221,Assumptions!$A$5:$B$8,2,0)</f>
        <v/>
      </c>
    </row>
    <row r="1222">
      <c r="A1222" t="inlineStr">
        <is>
          <t>RetailBanking</t>
        </is>
      </c>
      <c r="B1222" t="inlineStr">
        <is>
          <t>Transaction</t>
        </is>
      </c>
      <c r="C1222" t="inlineStr">
        <is>
          <t>x_GovtSecInvestmentImportConfig.aspx</t>
        </is>
      </c>
      <c r="D1222" t="inlineStr">
        <is>
          <t>RetailBanking/Transaction/x_GovtSecInvestmentImportConfig.aspx</t>
        </is>
      </c>
      <c r="E1222" t="inlineStr">
        <is>
          <t>Complex</t>
        </is>
      </c>
      <c r="F1222" s="25">
        <f>VLOOKUP(E1222,Assumptions!$A$5:$B$8,2,0)</f>
        <v/>
      </c>
    </row>
    <row r="1223">
      <c r="A1223" t="inlineStr">
        <is>
          <t>RetailBanking</t>
        </is>
      </c>
      <c r="B1223" t="inlineStr">
        <is>
          <t>Transaction</t>
        </is>
      </c>
      <c r="C1223" t="inlineStr">
        <is>
          <t>x_GovtSecInvestmentImportTransaction.aspx</t>
        </is>
      </c>
      <c r="D1223" t="inlineStr">
        <is>
          <t>RetailBanking/Transaction/x_GovtSecInvestmentImportTransaction.aspx</t>
        </is>
      </c>
      <c r="E1223" t="inlineStr">
        <is>
          <t>Complex</t>
        </is>
      </c>
      <c r="F1223" s="25">
        <f>VLOOKUP(E1223,Assumptions!$A$5:$B$8,2,0)</f>
        <v/>
      </c>
    </row>
    <row r="1224">
      <c r="A1224" t="inlineStr">
        <is>
          <t>RetailBanking</t>
        </is>
      </c>
      <c r="B1224" t="inlineStr">
        <is>
          <t>Transaction</t>
        </is>
      </c>
      <c r="C1224" t="inlineStr">
        <is>
          <t>x_GovtSecMarketValueImport.aspx</t>
        </is>
      </c>
      <c r="D1224" t="inlineStr">
        <is>
          <t>RetailBanking/Transaction/x_GovtSecMarketValueImport.aspx</t>
        </is>
      </c>
      <c r="E1224" t="inlineStr">
        <is>
          <t>Complex</t>
        </is>
      </c>
      <c r="F1224" s="25">
        <f>VLOOKUP(E1224,Assumptions!$A$5:$B$8,2,0)</f>
        <v/>
      </c>
    </row>
    <row r="1225">
      <c r="A1225" t="inlineStr">
        <is>
          <t>RetailBanking</t>
        </is>
      </c>
      <c r="B1225" t="inlineStr">
        <is>
          <t>Transaction</t>
        </is>
      </c>
      <c r="C1225" t="inlineStr">
        <is>
          <t>x_IncomeSTtrasaction.aspx</t>
        </is>
      </c>
      <c r="D1225" t="inlineStr">
        <is>
          <t>RetailBanking/Transaction/x_IncomeSTtrasaction.aspx</t>
        </is>
      </c>
      <c r="E1225" t="inlineStr">
        <is>
          <t>Complex</t>
        </is>
      </c>
      <c r="F1225" s="25">
        <f>VLOOKUP(E1225,Assumptions!$A$5:$B$8,2,0)</f>
        <v/>
      </c>
    </row>
    <row r="1226">
      <c r="A1226" t="inlineStr">
        <is>
          <t>RetailBanking</t>
        </is>
      </c>
      <c r="B1226" t="inlineStr">
        <is>
          <t>Transaction</t>
        </is>
      </c>
      <c r="C1226" t="inlineStr">
        <is>
          <t>x_InvestmentClosingTransaction.aspx</t>
        </is>
      </c>
      <c r="D1226" t="inlineStr">
        <is>
          <t>RetailBanking/Transaction/x_InvestmentClosingTransaction.aspx</t>
        </is>
      </c>
      <c r="E1226" t="inlineStr">
        <is>
          <t>Complex</t>
        </is>
      </c>
      <c r="F1226" s="25">
        <f>VLOOKUP(E1226,Assumptions!$A$5:$B$8,2,0)</f>
        <v/>
      </c>
    </row>
    <row r="1227">
      <c r="A1227" t="inlineStr">
        <is>
          <t>RetailBanking</t>
        </is>
      </c>
      <c r="B1227" t="inlineStr">
        <is>
          <t>Transaction</t>
        </is>
      </c>
      <c r="C1227" t="inlineStr">
        <is>
          <t>x_InvestmentInterestSettlementTransaction.aspx</t>
        </is>
      </c>
      <c r="D1227" t="inlineStr">
        <is>
          <t>RetailBanking/Transaction/x_InvestmentInterestSettlementTransaction.aspx</t>
        </is>
      </c>
      <c r="E1227" t="inlineStr">
        <is>
          <t>Complex</t>
        </is>
      </c>
      <c r="F1227" s="25">
        <f>VLOOKUP(E1227,Assumptions!$A$5:$B$8,2,0)</f>
        <v/>
      </c>
    </row>
    <row r="1228">
      <c r="A1228" t="inlineStr">
        <is>
          <t>RetailBanking</t>
        </is>
      </c>
      <c r="B1228" t="inlineStr">
        <is>
          <t>Transaction</t>
        </is>
      </c>
      <c r="C1228" t="inlineStr">
        <is>
          <t>x_InvestmentMoneyTrade.aspx</t>
        </is>
      </c>
      <c r="D1228" t="inlineStr">
        <is>
          <t>RetailBanking/Transaction/x_InvestmentMoneyTrade.aspx</t>
        </is>
      </c>
      <c r="E1228" t="inlineStr">
        <is>
          <t>Complex</t>
        </is>
      </c>
      <c r="F1228" s="25">
        <f>VLOOKUP(E1228,Assumptions!$A$5:$B$8,2,0)</f>
        <v/>
      </c>
    </row>
    <row r="1229">
      <c r="A1229" t="inlineStr">
        <is>
          <t>RetailBanking</t>
        </is>
      </c>
      <c r="B1229" t="inlineStr">
        <is>
          <t>Transaction</t>
        </is>
      </c>
      <c r="C1229" t="inlineStr">
        <is>
          <t>x_InvestmentMultipleSaleTransaction.aspx</t>
        </is>
      </c>
      <c r="D1229" t="inlineStr">
        <is>
          <t>RetailBanking/Transaction/x_InvestmentMultipleSaleTransaction.aspx</t>
        </is>
      </c>
      <c r="E1229" t="inlineStr">
        <is>
          <t>Complex</t>
        </is>
      </c>
      <c r="F1229" s="25">
        <f>VLOOKUP(E1229,Assumptions!$A$5:$B$8,2,0)</f>
        <v/>
      </c>
    </row>
    <row r="1230">
      <c r="A1230" t="inlineStr">
        <is>
          <t>RetailBanking</t>
        </is>
      </c>
      <c r="B1230" t="inlineStr">
        <is>
          <t>Transaction</t>
        </is>
      </c>
      <c r="C1230" t="inlineStr">
        <is>
          <t>x_InvestmentPurchaseRepo.aspx</t>
        </is>
      </c>
      <c r="D1230" t="inlineStr">
        <is>
          <t>RetailBanking/Transaction/x_InvestmentPurchaseRepo.aspx</t>
        </is>
      </c>
      <c r="E1230" t="inlineStr">
        <is>
          <t>Complex</t>
        </is>
      </c>
      <c r="F1230" s="25">
        <f>VLOOKUP(E1230,Assumptions!$A$5:$B$8,2,0)</f>
        <v/>
      </c>
    </row>
    <row r="1231">
      <c r="A1231" t="inlineStr">
        <is>
          <t>RetailBanking</t>
        </is>
      </c>
      <c r="B1231" t="inlineStr">
        <is>
          <t>Transaction</t>
        </is>
      </c>
      <c r="C1231" t="inlineStr">
        <is>
          <t>x_InvestmentRenewalTransaction.aspx</t>
        </is>
      </c>
      <c r="D1231" t="inlineStr">
        <is>
          <t>RetailBanking/Transaction/x_InvestmentRenewalTransaction.aspx</t>
        </is>
      </c>
      <c r="E1231" t="inlineStr">
        <is>
          <t>Complex</t>
        </is>
      </c>
      <c r="F1231" s="25">
        <f>VLOOKUP(E1231,Assumptions!$A$5:$B$8,2,0)</f>
        <v/>
      </c>
    </row>
    <row r="1232">
      <c r="A1232" t="inlineStr">
        <is>
          <t>RetailBanking</t>
        </is>
      </c>
      <c r="B1232" t="inlineStr">
        <is>
          <t>Transaction</t>
        </is>
      </c>
      <c r="C1232" t="inlineStr">
        <is>
          <t>x_InvestmentTransaction.aspx</t>
        </is>
      </c>
      <c r="D1232" t="inlineStr">
        <is>
          <t>RetailBanking/Transaction/x_InvestmentTransaction.aspx</t>
        </is>
      </c>
      <c r="E1232" t="inlineStr">
        <is>
          <t>Complex</t>
        </is>
      </c>
      <c r="F1232" s="25">
        <f>VLOOKUP(E1232,Assumptions!$A$5:$B$8,2,0)</f>
        <v/>
      </c>
    </row>
    <row r="1233">
      <c r="A1233" t="inlineStr">
        <is>
          <t>RetailBanking</t>
        </is>
      </c>
      <c r="B1233" t="inlineStr">
        <is>
          <t>Transaction</t>
        </is>
      </c>
      <c r="C1233" t="inlineStr">
        <is>
          <t>x_LedgerClientTdsCashRev.aspx</t>
        </is>
      </c>
      <c r="D1233" t="inlineStr">
        <is>
          <t>RetailBanking/Transaction/x_LedgerClientTdsCashRev.aspx</t>
        </is>
      </c>
      <c r="E1233" t="inlineStr">
        <is>
          <t>Complex</t>
        </is>
      </c>
      <c r="F1233" s="25">
        <f>VLOOKUP(E1233,Assumptions!$A$5:$B$8,2,0)</f>
        <v/>
      </c>
    </row>
    <row r="1234">
      <c r="A1234" t="inlineStr">
        <is>
          <t>RetailBanking</t>
        </is>
      </c>
      <c r="B1234" t="inlineStr">
        <is>
          <t>Transaction</t>
        </is>
      </c>
      <c r="C1234" t="inlineStr">
        <is>
          <t>x_LoanFDSettlement.aspx</t>
        </is>
      </c>
      <c r="D1234" t="inlineStr">
        <is>
          <t>RetailBanking/Transaction/x_LoanFDSettlement.aspx</t>
        </is>
      </c>
      <c r="E1234" t="inlineStr">
        <is>
          <t>Complex</t>
        </is>
      </c>
      <c r="F1234" s="25">
        <f>VLOOKUP(E1234,Assumptions!$A$5:$B$8,2,0)</f>
        <v/>
      </c>
    </row>
    <row r="1235">
      <c r="A1235" t="inlineStr">
        <is>
          <t>RetailBanking</t>
        </is>
      </c>
      <c r="B1235" t="inlineStr">
        <is>
          <t>Transaction</t>
        </is>
      </c>
      <c r="C1235" t="inlineStr">
        <is>
          <t>x_LoanInsuranceChargesPosting.aspx</t>
        </is>
      </c>
      <c r="D1235" t="inlineStr">
        <is>
          <t>RetailBanking/Transaction/x_LoanInsuranceChargesPosting.aspx</t>
        </is>
      </c>
      <c r="E1235" t="inlineStr">
        <is>
          <t>Complex</t>
        </is>
      </c>
      <c r="F1235" s="25">
        <f>VLOOKUP(E1235,Assumptions!$A$5:$B$8,2,0)</f>
        <v/>
      </c>
    </row>
    <row r="1236">
      <c r="A1236" t="inlineStr">
        <is>
          <t>RetailBanking</t>
        </is>
      </c>
      <c r="B1236" t="inlineStr">
        <is>
          <t>Transaction</t>
        </is>
      </c>
      <c r="C1236" t="inlineStr">
        <is>
          <t>x_LockRelease.aspx</t>
        </is>
      </c>
      <c r="D1236" t="inlineStr">
        <is>
          <t>RetailBanking/Transaction/x_LockRelease.aspx</t>
        </is>
      </c>
      <c r="E1236" t="inlineStr">
        <is>
          <t>Complex</t>
        </is>
      </c>
      <c r="F1236" s="25">
        <f>VLOOKUP(E1236,Assumptions!$A$5:$B$8,2,0)</f>
        <v/>
      </c>
    </row>
    <row r="1237">
      <c r="A1237" t="inlineStr">
        <is>
          <t>RetailBanking</t>
        </is>
      </c>
      <c r="B1237" t="inlineStr">
        <is>
          <t>Transaction</t>
        </is>
      </c>
      <c r="C1237" t="inlineStr">
        <is>
          <t>x_MICRECSAccountDetailsPopup.aspx</t>
        </is>
      </c>
      <c r="D1237" t="inlineStr">
        <is>
          <t>RetailBanking/Transaction/x_MICRECSAccountDetailsPopup.aspx</t>
        </is>
      </c>
      <c r="E1237" t="inlineStr">
        <is>
          <t>Complex</t>
        </is>
      </c>
      <c r="F1237" s="25">
        <f>VLOOKUP(E1237,Assumptions!$A$5:$B$8,2,0)</f>
        <v/>
      </c>
    </row>
    <row r="1238">
      <c r="A1238" t="inlineStr">
        <is>
          <t>RetailBanking</t>
        </is>
      </c>
      <c r="B1238" t="inlineStr">
        <is>
          <t>Transaction</t>
        </is>
      </c>
      <c r="C1238" t="inlineStr">
        <is>
          <t>x_MICRECSCreditManualStatus.aspx</t>
        </is>
      </c>
      <c r="D1238" t="inlineStr">
        <is>
          <t>RetailBanking/Transaction/x_MICRECSCreditManualStatus.aspx</t>
        </is>
      </c>
      <c r="E1238" t="inlineStr">
        <is>
          <t>Complex</t>
        </is>
      </c>
      <c r="F1238" s="25">
        <f>VLOOKUP(E1238,Assumptions!$A$5:$B$8,2,0)</f>
        <v/>
      </c>
    </row>
    <row r="1239">
      <c r="A1239" t="inlineStr">
        <is>
          <t>RetailBanking</t>
        </is>
      </c>
      <c r="B1239" t="inlineStr">
        <is>
          <t>Transaction</t>
        </is>
      </c>
      <c r="C1239" t="inlineStr">
        <is>
          <t>x_MICRECSGenerateReturnFile.aspx</t>
        </is>
      </c>
      <c r="D1239" t="inlineStr">
        <is>
          <t>RetailBanking/Transaction/x_MICRECSGenerateReturnFile.aspx</t>
        </is>
      </c>
      <c r="E1239" t="inlineStr">
        <is>
          <t>Complex</t>
        </is>
      </c>
      <c r="F1239" s="25">
        <f>VLOOKUP(E1239,Assumptions!$A$5:$B$8,2,0)</f>
        <v/>
      </c>
    </row>
    <row r="1240">
      <c r="A1240" t="inlineStr">
        <is>
          <t>RetailBanking</t>
        </is>
      </c>
      <c r="B1240" t="inlineStr">
        <is>
          <t>Transaction</t>
        </is>
      </c>
      <c r="C1240" t="inlineStr">
        <is>
          <t>x_MICRECSManualStatus.aspx</t>
        </is>
      </c>
      <c r="D1240" t="inlineStr">
        <is>
          <t>RetailBanking/Transaction/x_MICRECSManualStatus.aspx</t>
        </is>
      </c>
      <c r="E1240" t="inlineStr">
        <is>
          <t>Complex</t>
        </is>
      </c>
      <c r="F1240" s="25">
        <f>VLOOKUP(E1240,Assumptions!$A$5:$B$8,2,0)</f>
        <v/>
      </c>
    </row>
    <row r="1241">
      <c r="A1241" t="inlineStr">
        <is>
          <t>RetailBanking</t>
        </is>
      </c>
      <c r="B1241" t="inlineStr">
        <is>
          <t>Transaction</t>
        </is>
      </c>
      <c r="C1241" t="inlineStr">
        <is>
          <t>x_MICRECSOACGenerateFile.aspx</t>
        </is>
      </c>
      <c r="D1241" t="inlineStr">
        <is>
          <t>RetailBanking/Transaction/x_MICRECSOACGenerateFile.aspx</t>
        </is>
      </c>
      <c r="E1241" t="inlineStr">
        <is>
          <t>Complex</t>
        </is>
      </c>
      <c r="F1241" s="25">
        <f>VLOOKUP(E1241,Assumptions!$A$5:$B$8,2,0)</f>
        <v/>
      </c>
    </row>
    <row r="1242">
      <c r="A1242" t="inlineStr">
        <is>
          <t>RetailBanking</t>
        </is>
      </c>
      <c r="B1242" t="inlineStr">
        <is>
          <t>Transaction</t>
        </is>
      </c>
      <c r="C1242" t="inlineStr">
        <is>
          <t>x_MICRECSOACGenerateFilePopup.aspx</t>
        </is>
      </c>
      <c r="D1242" t="inlineStr">
        <is>
          <t>RetailBanking/Transaction/x_MICRECSOACGenerateFilePopup.aspx</t>
        </is>
      </c>
      <c r="E1242" t="inlineStr">
        <is>
          <t>Complex</t>
        </is>
      </c>
      <c r="F1242" s="25">
        <f>VLOOKUP(E1242,Assumptions!$A$5:$B$8,2,0)</f>
        <v/>
      </c>
    </row>
    <row r="1243">
      <c r="A1243" t="inlineStr">
        <is>
          <t>RetailBanking</t>
        </is>
      </c>
      <c r="B1243" t="inlineStr">
        <is>
          <t>Transaction</t>
        </is>
      </c>
      <c r="C1243" t="inlineStr">
        <is>
          <t>x_MICRECSPaymentGenerateReturnFile.aspx</t>
        </is>
      </c>
      <c r="D1243" t="inlineStr">
        <is>
          <t>RetailBanking/Transaction/x_MICRECSPaymentGenerateReturnFile.aspx</t>
        </is>
      </c>
      <c r="E1243" t="inlineStr">
        <is>
          <t>Complex</t>
        </is>
      </c>
      <c r="F1243" s="25">
        <f>VLOOKUP(E1243,Assumptions!$A$5:$B$8,2,0)</f>
        <v/>
      </c>
    </row>
    <row r="1244">
      <c r="A1244" t="inlineStr">
        <is>
          <t>RetailBanking</t>
        </is>
      </c>
      <c r="B1244" t="inlineStr">
        <is>
          <t>Transaction</t>
        </is>
      </c>
      <c r="C1244" t="inlineStr">
        <is>
          <t>x_MICRECSPaymentManualStatus.aspx</t>
        </is>
      </c>
      <c r="D1244" t="inlineStr">
        <is>
          <t>RetailBanking/Transaction/x_MICRECSPaymentManualStatus.aspx</t>
        </is>
      </c>
      <c r="E1244" t="inlineStr">
        <is>
          <t>Complex</t>
        </is>
      </c>
      <c r="F1244" s="25">
        <f>VLOOKUP(E1244,Assumptions!$A$5:$B$8,2,0)</f>
        <v/>
      </c>
    </row>
    <row r="1245">
      <c r="A1245" t="inlineStr">
        <is>
          <t>RetailBanking</t>
        </is>
      </c>
      <c r="B1245" t="inlineStr">
        <is>
          <t>Transaction</t>
        </is>
      </c>
      <c r="C1245" t="inlineStr">
        <is>
          <t>x_MICRECSPaymentProcessFile.aspx</t>
        </is>
      </c>
      <c r="D1245" t="inlineStr">
        <is>
          <t>RetailBanking/Transaction/x_MICRECSPaymentProcessFile.aspx</t>
        </is>
      </c>
      <c r="E1245" t="inlineStr">
        <is>
          <t>Complex</t>
        </is>
      </c>
      <c r="F1245" s="25">
        <f>VLOOKUP(E1245,Assumptions!$A$5:$B$8,2,0)</f>
        <v/>
      </c>
    </row>
    <row r="1246">
      <c r="A1246" t="inlineStr">
        <is>
          <t>RetailBanking</t>
        </is>
      </c>
      <c r="B1246" t="inlineStr">
        <is>
          <t>Transaction</t>
        </is>
      </c>
      <c r="C1246" t="inlineStr">
        <is>
          <t>x_MICRECSPaymentProcessFilePopup.aspx</t>
        </is>
      </c>
      <c r="D1246" t="inlineStr">
        <is>
          <t>RetailBanking/Transaction/x_MICRECSPaymentProcessFilePopup.aspx</t>
        </is>
      </c>
      <c r="E1246" t="inlineStr">
        <is>
          <t>Complex</t>
        </is>
      </c>
      <c r="F1246" s="25">
        <f>VLOOKUP(E1246,Assumptions!$A$5:$B$8,2,0)</f>
        <v/>
      </c>
    </row>
    <row r="1247">
      <c r="A1247" t="inlineStr">
        <is>
          <t>RetailBanking</t>
        </is>
      </c>
      <c r="B1247" t="inlineStr">
        <is>
          <t>Transaction</t>
        </is>
      </c>
      <c r="C1247" t="inlineStr">
        <is>
          <t>x_MICRECSPaymentProcessFileReport.aspx</t>
        </is>
      </c>
      <c r="D1247" t="inlineStr">
        <is>
          <t>RetailBanking/Transaction/x_MICRECSPaymentProcessFileReport.aspx</t>
        </is>
      </c>
      <c r="E1247" t="inlineStr">
        <is>
          <t>Report</t>
        </is>
      </c>
      <c r="F1247" s="25">
        <f>VLOOKUP(E1247,Assumptions!$A$5:$B$8,2,0)</f>
        <v/>
      </c>
    </row>
    <row r="1248">
      <c r="A1248" t="inlineStr">
        <is>
          <t>RetailBanking</t>
        </is>
      </c>
      <c r="B1248" t="inlineStr">
        <is>
          <t>Transaction</t>
        </is>
      </c>
      <c r="C1248" t="inlineStr">
        <is>
          <t>x_MICRECSPaymentTransactionPosting_v1.aspx</t>
        </is>
      </c>
      <c r="D1248" t="inlineStr">
        <is>
          <t>RetailBanking/Transaction/x_MICRECSPaymentTransactionPosting_v1.aspx</t>
        </is>
      </c>
      <c r="E1248" t="inlineStr">
        <is>
          <t>Complex</t>
        </is>
      </c>
      <c r="F1248" s="25">
        <f>VLOOKUP(E1248,Assumptions!$A$5:$B$8,2,0)</f>
        <v/>
      </c>
    </row>
    <row r="1249">
      <c r="A1249" t="inlineStr">
        <is>
          <t>RetailBanking</t>
        </is>
      </c>
      <c r="B1249" t="inlineStr">
        <is>
          <t>Transaction</t>
        </is>
      </c>
      <c r="C1249" t="inlineStr">
        <is>
          <t>x_MICRECSPaymentUploadFile.aspx</t>
        </is>
      </c>
      <c r="D1249" t="inlineStr">
        <is>
          <t>RetailBanking/Transaction/x_MICRECSPaymentUploadFile.aspx</t>
        </is>
      </c>
      <c r="E1249" t="inlineStr">
        <is>
          <t>Complex</t>
        </is>
      </c>
      <c r="F1249" s="25">
        <f>VLOOKUP(E1249,Assumptions!$A$5:$B$8,2,0)</f>
        <v/>
      </c>
    </row>
    <row r="1250">
      <c r="A1250" t="inlineStr">
        <is>
          <t>RetailBanking</t>
        </is>
      </c>
      <c r="B1250" t="inlineStr">
        <is>
          <t>Transaction</t>
        </is>
      </c>
      <c r="C1250" t="inlineStr">
        <is>
          <t>x_MICRECSProcessFileData_v2.aspx</t>
        </is>
      </c>
      <c r="D1250" t="inlineStr">
        <is>
          <t>RetailBanking/Transaction/x_MICRECSProcessFileData_v2.aspx</t>
        </is>
      </c>
      <c r="E1250" t="inlineStr">
        <is>
          <t>Complex</t>
        </is>
      </c>
      <c r="F1250" s="25">
        <f>VLOOKUP(E1250,Assumptions!$A$5:$B$8,2,0)</f>
        <v/>
      </c>
    </row>
    <row r="1251">
      <c r="A1251" t="inlineStr">
        <is>
          <t>RetailBanking</t>
        </is>
      </c>
      <c r="B1251" t="inlineStr">
        <is>
          <t>Transaction</t>
        </is>
      </c>
      <c r="C1251" t="inlineStr">
        <is>
          <t>x_MICRECSProcessFilePopup.aspx</t>
        </is>
      </c>
      <c r="D1251" t="inlineStr">
        <is>
          <t>RetailBanking/Transaction/x_MICRECSProcessFilePopup.aspx</t>
        </is>
      </c>
      <c r="E1251" t="inlineStr">
        <is>
          <t>Complex</t>
        </is>
      </c>
      <c r="F1251" s="25">
        <f>VLOOKUP(E1251,Assumptions!$A$5:$B$8,2,0)</f>
        <v/>
      </c>
    </row>
    <row r="1252">
      <c r="A1252" t="inlineStr">
        <is>
          <t>RetailBanking</t>
        </is>
      </c>
      <c r="B1252" t="inlineStr">
        <is>
          <t>Transaction</t>
        </is>
      </c>
      <c r="C1252" t="inlineStr">
        <is>
          <t>x_MICRECSTransactionPosting.aspx</t>
        </is>
      </c>
      <c r="D1252" t="inlineStr">
        <is>
          <t>RetailBanking/Transaction/x_MICRECSTransactionPosting.aspx</t>
        </is>
      </c>
      <c r="E1252" t="inlineStr">
        <is>
          <t>Complex</t>
        </is>
      </c>
      <c r="F1252" s="25">
        <f>VLOOKUP(E1252,Assumptions!$A$5:$B$8,2,0)</f>
        <v/>
      </c>
    </row>
    <row r="1253">
      <c r="A1253" t="inlineStr">
        <is>
          <t>RetailBanking</t>
        </is>
      </c>
      <c r="B1253" t="inlineStr">
        <is>
          <t>Transaction</t>
        </is>
      </c>
      <c r="C1253" t="inlineStr">
        <is>
          <t>x_MICRECSUploadFile.aspx</t>
        </is>
      </c>
      <c r="D1253" t="inlineStr">
        <is>
          <t>RetailBanking/Transaction/x_MICRECSUploadFile.aspx</t>
        </is>
      </c>
      <c r="E1253" t="inlineStr">
        <is>
          <t>Complex</t>
        </is>
      </c>
      <c r="F1253" s="25">
        <f>VLOOKUP(E1253,Assumptions!$A$5:$B$8,2,0)</f>
        <v/>
      </c>
    </row>
    <row r="1254">
      <c r="A1254" t="inlineStr">
        <is>
          <t>RetailBanking</t>
        </is>
      </c>
      <c r="B1254" t="inlineStr">
        <is>
          <t>Transaction</t>
        </is>
      </c>
      <c r="C1254" t="inlineStr">
        <is>
          <t>x_ManyToManyTranPopUp.aspx</t>
        </is>
      </c>
      <c r="D1254" t="inlineStr">
        <is>
          <t>RetailBanking/Transaction/x_ManyToManyTranPopUp.aspx</t>
        </is>
      </c>
      <c r="E1254" t="inlineStr">
        <is>
          <t>Complex</t>
        </is>
      </c>
      <c r="F1254" s="25">
        <f>VLOOKUP(E1254,Assumptions!$A$5:$B$8,2,0)</f>
        <v/>
      </c>
    </row>
    <row r="1255">
      <c r="A1255" t="inlineStr">
        <is>
          <t>RetailBanking</t>
        </is>
      </c>
      <c r="B1255" t="inlineStr">
        <is>
          <t>Transaction</t>
        </is>
      </c>
      <c r="C1255" t="inlineStr">
        <is>
          <t>x_ManyToManyTransactionIBT_V1.aspx</t>
        </is>
      </c>
      <c r="D1255" t="inlineStr">
        <is>
          <t>RetailBanking/Transaction/x_ManyToManyTransactionIBT_V1.aspx</t>
        </is>
      </c>
      <c r="E1255" t="inlineStr">
        <is>
          <t>Complex</t>
        </is>
      </c>
      <c r="F1255" s="25">
        <f>VLOOKUP(E1255,Assumptions!$A$5:$B$8,2,0)</f>
        <v/>
      </c>
    </row>
    <row r="1256">
      <c r="A1256" t="inlineStr">
        <is>
          <t>RetailBanking</t>
        </is>
      </c>
      <c r="B1256" t="inlineStr">
        <is>
          <t>Transaction</t>
        </is>
      </c>
      <c r="C1256" t="inlineStr">
        <is>
          <t>x_NonOprClaim.aspx</t>
        </is>
      </c>
      <c r="D1256" t="inlineStr">
        <is>
          <t>RetailBanking/Transaction/x_NonOprClaim.aspx</t>
        </is>
      </c>
      <c r="E1256" t="inlineStr">
        <is>
          <t>Complex</t>
        </is>
      </c>
      <c r="F1256" s="25">
        <f>VLOOKUP(E1256,Assumptions!$A$5:$B$8,2,0)</f>
        <v/>
      </c>
    </row>
    <row r="1257">
      <c r="A1257" t="inlineStr">
        <is>
          <t>RetailBanking</t>
        </is>
      </c>
      <c r="B1257" t="inlineStr">
        <is>
          <t>Transaction</t>
        </is>
      </c>
      <c r="C1257" t="inlineStr">
        <is>
          <t>x_NonOprClaimReceived.aspx</t>
        </is>
      </c>
      <c r="D1257" t="inlineStr">
        <is>
          <t>RetailBanking/Transaction/x_NonOprClaimReceived.aspx</t>
        </is>
      </c>
      <c r="E1257" t="inlineStr">
        <is>
          <t>Complex</t>
        </is>
      </c>
      <c r="F1257" s="25">
        <f>VLOOKUP(E1257,Assumptions!$A$5:$B$8,2,0)</f>
        <v/>
      </c>
    </row>
    <row r="1258">
      <c r="A1258" t="inlineStr">
        <is>
          <t>RetailBanking</t>
        </is>
      </c>
      <c r="B1258" t="inlineStr">
        <is>
          <t>Transaction</t>
        </is>
      </c>
      <c r="C1258" t="inlineStr">
        <is>
          <t>x_NonOprDepositPost.aspx</t>
        </is>
      </c>
      <c r="D1258" t="inlineStr">
        <is>
          <t>RetailBanking/Transaction/x_NonOprDepositPost.aspx</t>
        </is>
      </c>
      <c r="E1258" t="inlineStr">
        <is>
          <t>Complex</t>
        </is>
      </c>
      <c r="F1258" s="25">
        <f>VLOOKUP(E1258,Assumptions!$A$5:$B$8,2,0)</f>
        <v/>
      </c>
    </row>
    <row r="1259">
      <c r="A1259" t="inlineStr">
        <is>
          <t>RetailBanking</t>
        </is>
      </c>
      <c r="B1259" t="inlineStr">
        <is>
          <t>Transaction</t>
        </is>
      </c>
      <c r="C1259" t="inlineStr">
        <is>
          <t>x_NonOprDepositPostPopup.aspx</t>
        </is>
      </c>
      <c r="D1259" t="inlineStr">
        <is>
          <t>RetailBanking/Transaction/x_NonOprDepositPostPopup.aspx</t>
        </is>
      </c>
      <c r="E1259" t="inlineStr">
        <is>
          <t>Complex</t>
        </is>
      </c>
      <c r="F1259" s="25">
        <f>VLOOKUP(E1259,Assumptions!$A$5:$B$8,2,0)</f>
        <v/>
      </c>
    </row>
    <row r="1260">
      <c r="A1260" t="inlineStr">
        <is>
          <t>RetailBanking</t>
        </is>
      </c>
      <c r="B1260" t="inlineStr">
        <is>
          <t>Transaction</t>
        </is>
      </c>
      <c r="C1260" t="inlineStr">
        <is>
          <t>x_NonOprDepositTrf.aspx</t>
        </is>
      </c>
      <c r="D1260" t="inlineStr">
        <is>
          <t>RetailBanking/Transaction/x_NonOprDepositTrf.aspx</t>
        </is>
      </c>
      <c r="E1260" t="inlineStr">
        <is>
          <t>Complex</t>
        </is>
      </c>
      <c r="F1260" s="25">
        <f>VLOOKUP(E1260,Assumptions!$A$5:$B$8,2,0)</f>
        <v/>
      </c>
    </row>
    <row r="1261">
      <c r="A1261" t="inlineStr">
        <is>
          <t>RetailBanking</t>
        </is>
      </c>
      <c r="B1261" t="inlineStr">
        <is>
          <t>Transaction</t>
        </is>
      </c>
      <c r="C1261" t="inlineStr">
        <is>
          <t>x_NonOprDepositTrfPopup.aspx</t>
        </is>
      </c>
      <c r="D1261" t="inlineStr">
        <is>
          <t>RetailBanking/Transaction/x_NonOprDepositTrfPopup.aspx</t>
        </is>
      </c>
      <c r="E1261" t="inlineStr">
        <is>
          <t>Complex</t>
        </is>
      </c>
      <c r="F1261" s="25">
        <f>VLOOKUP(E1261,Assumptions!$A$5:$B$8,2,0)</f>
        <v/>
      </c>
    </row>
    <row r="1262">
      <c r="A1262" t="inlineStr">
        <is>
          <t>RetailBanking</t>
        </is>
      </c>
      <c r="B1262" t="inlineStr">
        <is>
          <t>Transaction</t>
        </is>
      </c>
      <c r="C1262" t="inlineStr">
        <is>
          <t>x_P2BDemandGeneration.aspx</t>
        </is>
      </c>
      <c r="D1262" t="inlineStr">
        <is>
          <t>RetailBanking/Transaction/x_P2BDemandGeneration.aspx</t>
        </is>
      </c>
      <c r="E1262" t="inlineStr">
        <is>
          <t>Complex</t>
        </is>
      </c>
      <c r="F1262" s="25">
        <f>VLOOKUP(E1262,Assumptions!$A$5:$B$8,2,0)</f>
        <v/>
      </c>
    </row>
    <row r="1263">
      <c r="A1263" t="inlineStr">
        <is>
          <t>RetailBanking</t>
        </is>
      </c>
      <c r="B1263" t="inlineStr">
        <is>
          <t>Transaction</t>
        </is>
      </c>
      <c r="C1263" t="inlineStr">
        <is>
          <t>x_PigmyCommCalculateNewV1.aspx</t>
        </is>
      </c>
      <c r="D1263" t="inlineStr">
        <is>
          <t>RetailBanking/Transaction/x_PigmyCommCalculateNewV1.aspx</t>
        </is>
      </c>
      <c r="E1263" t="inlineStr">
        <is>
          <t>Complex</t>
        </is>
      </c>
      <c r="F1263" s="25">
        <f>VLOOKUP(E1263,Assumptions!$A$5:$B$8,2,0)</f>
        <v/>
      </c>
    </row>
    <row r="1264">
      <c r="A1264" t="inlineStr">
        <is>
          <t>RetailBanking</t>
        </is>
      </c>
      <c r="B1264" t="inlineStr">
        <is>
          <t>Transaction</t>
        </is>
      </c>
      <c r="C1264" t="inlineStr">
        <is>
          <t>x_PigmyExportSetting.aspx</t>
        </is>
      </c>
      <c r="D1264" t="inlineStr">
        <is>
          <t>RetailBanking/Transaction/x_PigmyExportSetting.aspx</t>
        </is>
      </c>
      <c r="E1264" t="inlineStr">
        <is>
          <t>Complex</t>
        </is>
      </c>
      <c r="F1264" s="25">
        <f>VLOOKUP(E1264,Assumptions!$A$5:$B$8,2,0)</f>
        <v/>
      </c>
    </row>
    <row r="1265">
      <c r="A1265" t="inlineStr">
        <is>
          <t>RetailBanking</t>
        </is>
      </c>
      <c r="B1265" t="inlineStr">
        <is>
          <t>Transaction</t>
        </is>
      </c>
      <c r="C1265" t="inlineStr">
        <is>
          <t>x_PigmyProductTransactionDetails.aspx</t>
        </is>
      </c>
      <c r="D1265" t="inlineStr">
        <is>
          <t>RetailBanking/Transaction/x_PigmyProductTransactionDetails.aspx</t>
        </is>
      </c>
      <c r="E1265" t="inlineStr">
        <is>
          <t>Complex</t>
        </is>
      </c>
      <c r="F1265" s="25">
        <f>VLOOKUP(E1265,Assumptions!$A$5:$B$8,2,0)</f>
        <v/>
      </c>
    </row>
    <row r="1266">
      <c r="A1266" t="inlineStr">
        <is>
          <t>RetailBanking</t>
        </is>
      </c>
      <c r="B1266" t="inlineStr">
        <is>
          <t>Transaction</t>
        </is>
      </c>
      <c r="C1266" t="inlineStr">
        <is>
          <t>x_ProfitLossSummation.aspx</t>
        </is>
      </c>
      <c r="D1266" t="inlineStr">
        <is>
          <t>RetailBanking/Transaction/x_ProfitLossSummation.aspx</t>
        </is>
      </c>
      <c r="E1266" t="inlineStr">
        <is>
          <t>Complex</t>
        </is>
      </c>
      <c r="F1266" s="25">
        <f>VLOOKUP(E1266,Assumptions!$A$5:$B$8,2,0)</f>
        <v/>
      </c>
    </row>
    <row r="1267">
      <c r="A1267" t="inlineStr">
        <is>
          <t>RetailBanking</t>
        </is>
      </c>
      <c r="B1267" t="inlineStr">
        <is>
          <t>Transaction</t>
        </is>
      </c>
      <c r="C1267" t="inlineStr">
        <is>
          <t>x_ProfitLossSummationPopup.aspx</t>
        </is>
      </c>
      <c r="D1267" t="inlineStr">
        <is>
          <t>RetailBanking/Transaction/x_ProfitLossSummationPopup.aspx</t>
        </is>
      </c>
      <c r="E1267" t="inlineStr">
        <is>
          <t>Complex</t>
        </is>
      </c>
      <c r="F1267" s="25">
        <f>VLOOKUP(E1267,Assumptions!$A$5:$B$8,2,0)</f>
        <v/>
      </c>
    </row>
    <row r="1268">
      <c r="A1268" t="inlineStr">
        <is>
          <t>RetailBanking</t>
        </is>
      </c>
      <c r="B1268" t="inlineStr">
        <is>
          <t>Transaction</t>
        </is>
      </c>
      <c r="C1268" t="inlineStr">
        <is>
          <t>x_ProfitLossSummationV1.aspx</t>
        </is>
      </c>
      <c r="D1268" t="inlineStr">
        <is>
          <t>RetailBanking/Transaction/x_ProfitLossSummationV1.aspx</t>
        </is>
      </c>
      <c r="E1268" t="inlineStr">
        <is>
          <t>Complex</t>
        </is>
      </c>
      <c r="F1268" s="25">
        <f>VLOOKUP(E1268,Assumptions!$A$5:$B$8,2,0)</f>
        <v/>
      </c>
    </row>
    <row r="1269">
      <c r="A1269" t="inlineStr">
        <is>
          <t>RetailBanking</t>
        </is>
      </c>
      <c r="B1269" t="inlineStr">
        <is>
          <t>Transaction</t>
        </is>
      </c>
      <c r="C1269" t="inlineStr">
        <is>
          <t>x_PurchaseDealNumber.aspx</t>
        </is>
      </c>
      <c r="D1269" t="inlineStr">
        <is>
          <t>RetailBanking/Transaction/x_PurchaseDealNumber.aspx</t>
        </is>
      </c>
      <c r="E1269" t="inlineStr">
        <is>
          <t>Complex</t>
        </is>
      </c>
      <c r="F1269" s="25">
        <f>VLOOKUP(E1269,Assumptions!$A$5:$B$8,2,0)</f>
        <v/>
      </c>
    </row>
    <row r="1270">
      <c r="A1270" t="inlineStr">
        <is>
          <t>RetailBanking</t>
        </is>
      </c>
      <c r="B1270" t="inlineStr">
        <is>
          <t>Transaction</t>
        </is>
      </c>
      <c r="C1270" t="inlineStr">
        <is>
          <t>x_RDAccountClosing.aspx</t>
        </is>
      </c>
      <c r="D1270" t="inlineStr">
        <is>
          <t>RetailBanking/Transaction/x_RDAccountClosing.aspx</t>
        </is>
      </c>
      <c r="E1270" t="inlineStr">
        <is>
          <t>Complex</t>
        </is>
      </c>
      <c r="F1270" s="25">
        <f>VLOOKUP(E1270,Assumptions!$A$5:$B$8,2,0)</f>
        <v/>
      </c>
    </row>
    <row r="1271">
      <c r="A1271" t="inlineStr">
        <is>
          <t>RetailBanking</t>
        </is>
      </c>
      <c r="B1271" t="inlineStr">
        <is>
          <t>Transaction</t>
        </is>
      </c>
      <c r="C1271" t="inlineStr">
        <is>
          <t>x_RDProduct.aspx</t>
        </is>
      </c>
      <c r="D1271" t="inlineStr">
        <is>
          <t>RetailBanking/Transaction/x_RDProduct.aspx</t>
        </is>
      </c>
      <c r="E1271" t="inlineStr">
        <is>
          <t>Complex</t>
        </is>
      </c>
      <c r="F1271" s="25">
        <f>VLOOKUP(E1271,Assumptions!$A$5:$B$8,2,0)</f>
        <v/>
      </c>
    </row>
    <row r="1272">
      <c r="A1272" t="inlineStr">
        <is>
          <t>RetailBanking</t>
        </is>
      </c>
      <c r="B1272" t="inlineStr">
        <is>
          <t>Transaction</t>
        </is>
      </c>
      <c r="C1272" t="inlineStr">
        <is>
          <t>x_SbCaRdAccountClosing.aspx</t>
        </is>
      </c>
      <c r="D1272" t="inlineStr">
        <is>
          <t>RetailBanking/Transaction/x_SbCaRdAccountClosing.aspx</t>
        </is>
      </c>
      <c r="E1272" t="inlineStr">
        <is>
          <t>Complex</t>
        </is>
      </c>
      <c r="F1272" s="25">
        <f>VLOOKUP(E1272,Assumptions!$A$5:$B$8,2,0)</f>
        <v/>
      </c>
    </row>
    <row r="1273">
      <c r="A1273" t="inlineStr">
        <is>
          <t>RetailBanking</t>
        </is>
      </c>
      <c r="B1273" t="inlineStr">
        <is>
          <t>Transaction</t>
        </is>
      </c>
      <c r="C1273" t="inlineStr">
        <is>
          <t>x_SignatureImage.aspx</t>
        </is>
      </c>
      <c r="D1273" t="inlineStr">
        <is>
          <t>RetailBanking/Transaction/x_SignatureImage.aspx</t>
        </is>
      </c>
      <c r="E1273" t="inlineStr">
        <is>
          <t>Complex</t>
        </is>
      </c>
      <c r="F1273" s="25">
        <f>VLOOKUP(E1273,Assumptions!$A$5:$B$8,2,0)</f>
        <v/>
      </c>
    </row>
    <row r="1274">
      <c r="A1274" t="inlineStr">
        <is>
          <t>RetailBanking</t>
        </is>
      </c>
      <c r="B1274" t="inlineStr">
        <is>
          <t>Transaction</t>
        </is>
      </c>
      <c r="C1274" t="inlineStr">
        <is>
          <t>x_TransClientAccODDet.aspx</t>
        </is>
      </c>
      <c r="D1274" t="inlineStr">
        <is>
          <t>RetailBanking/Transaction/x_TransClientAccODDet.aspx</t>
        </is>
      </c>
      <c r="E1274" t="inlineStr">
        <is>
          <t>Complex</t>
        </is>
      </c>
      <c r="F1274" s="25">
        <f>VLOOKUP(E1274,Assumptions!$A$5:$B$8,2,0)</f>
        <v/>
      </c>
    </row>
    <row r="1275">
      <c r="A1275" t="inlineStr">
        <is>
          <t>RetailBanking</t>
        </is>
      </c>
      <c r="B1275" t="inlineStr">
        <is>
          <t>Transaction</t>
        </is>
      </c>
      <c r="C1275" t="inlineStr">
        <is>
          <t>x_TransactionOtherDetails.aspx</t>
        </is>
      </c>
      <c r="D1275" t="inlineStr">
        <is>
          <t>RetailBanking/Transaction/x_TransactionOtherDetails.aspx</t>
        </is>
      </c>
      <c r="E1275" t="inlineStr">
        <is>
          <t>Complex</t>
        </is>
      </c>
      <c r="F1275" s="25">
        <f>VLOOKUP(E1275,Assumptions!$A$5:$B$8,2,0)</f>
        <v/>
      </c>
    </row>
    <row r="1276">
      <c r="A1276" t="inlineStr">
        <is>
          <t>RetailBanking</t>
        </is>
      </c>
      <c r="B1276" t="inlineStr">
        <is>
          <t>Transaction</t>
        </is>
      </c>
      <c r="C1276" t="inlineStr">
        <is>
          <t>x_TransactionOtherDetailsOld.aspx</t>
        </is>
      </c>
      <c r="D1276" t="inlineStr">
        <is>
          <t>RetailBanking/Transaction/x_TransactionOtherDetailsOld.aspx</t>
        </is>
      </c>
      <c r="E1276" t="inlineStr">
        <is>
          <t>Complex</t>
        </is>
      </c>
      <c r="F1276" s="25">
        <f>VLOOKUP(E1276,Assumptions!$A$5:$B$8,2,0)</f>
        <v/>
      </c>
    </row>
    <row r="1277">
      <c r="A1277" t="inlineStr">
        <is>
          <t>RetailBanking</t>
        </is>
      </c>
      <c r="B1277" t="inlineStr">
        <is>
          <t>Transaction</t>
        </is>
      </c>
      <c r="C1277" t="inlineStr">
        <is>
          <t>x_investmentAmortisationCalc.aspx</t>
        </is>
      </c>
      <c r="D1277" t="inlineStr">
        <is>
          <t>RetailBanking/Transaction/x_investmentAmortisationCalc.aspx</t>
        </is>
      </c>
      <c r="E1277" t="inlineStr">
        <is>
          <t>Complex</t>
        </is>
      </c>
      <c r="F1277" s="25">
        <f>VLOOKUP(E1277,Assumptions!$A$5:$B$8,2,0)</f>
        <v/>
      </c>
    </row>
    <row r="1278">
      <c r="A1278" t="inlineStr">
        <is>
          <t>RetailBanking</t>
        </is>
      </c>
      <c r="B1278" t="inlineStr">
        <is>
          <t>Transaction</t>
        </is>
      </c>
      <c r="C1278" t="inlineStr">
        <is>
          <t>x_pigmyTrfAmtToLinkAcc.aspx</t>
        </is>
      </c>
      <c r="D1278" t="inlineStr">
        <is>
          <t>RetailBanking/Transaction/x_pigmyTrfAmtToLinkAcc.aspx</t>
        </is>
      </c>
      <c r="E1278" t="inlineStr">
        <is>
          <t>Complex</t>
        </is>
      </c>
      <c r="F1278" s="25">
        <f>VLOOKUP(E1278,Assumptions!$A$5:$B$8,2,0)</f>
        <v/>
      </c>
    </row>
    <row r="1279">
      <c r="A1279" t="inlineStr">
        <is>
          <t>RetailBanking</t>
        </is>
      </c>
      <c r="B1279" t="inlineStr">
        <is>
          <t>Transaction</t>
        </is>
      </c>
      <c r="C1279" t="inlineStr">
        <is>
          <t>x_transaction_js_cash_handler.aspx</t>
        </is>
      </c>
      <c r="D1279" t="inlineStr">
        <is>
          <t>RetailBanking/Transaction/x_transaction_js_cash_handler.aspx</t>
        </is>
      </c>
      <c r="E1279" t="inlineStr">
        <is>
          <t>Complex</t>
        </is>
      </c>
      <c r="F1279" s="25">
        <f>VLOOKUP(E1279,Assumptions!$A$5:$B$8,2,0)</f>
        <v/>
      </c>
    </row>
    <row r="1280">
      <c r="A1280" t="inlineStr">
        <is>
          <t>RetailBanking</t>
        </is>
      </c>
      <c r="B1280" t="inlineStr">
        <is>
          <t>Transaction</t>
        </is>
      </c>
      <c r="C1280" t="inlineStr">
        <is>
          <t>x_transaction_js_ibt_cash_handler.aspx</t>
        </is>
      </c>
      <c r="D1280" t="inlineStr">
        <is>
          <t>RetailBanking/Transaction/x_transaction_js_ibt_cash_handler.aspx</t>
        </is>
      </c>
      <c r="E1280" t="inlineStr">
        <is>
          <t>Complex</t>
        </is>
      </c>
      <c r="F1280" s="25">
        <f>VLOOKUP(E1280,Assumptions!$A$5:$B$8,2,0)</f>
        <v/>
      </c>
    </row>
    <row r="1281">
      <c r="A1281" t="inlineStr">
        <is>
          <t>RetailBanking</t>
        </is>
      </c>
      <c r="B1281" t="inlineStr">
        <is>
          <t>Transaction</t>
        </is>
      </c>
      <c r="C1281" t="inlineStr">
        <is>
          <t>x_transaction_js_ibt_trf_handler.aspx</t>
        </is>
      </c>
      <c r="D1281" t="inlineStr">
        <is>
          <t>RetailBanking/Transaction/x_transaction_js_ibt_trf_handler.aspx</t>
        </is>
      </c>
      <c r="E1281" t="inlineStr">
        <is>
          <t>Complex</t>
        </is>
      </c>
      <c r="F1281" s="25">
        <f>VLOOKUP(E1281,Assumptions!$A$5:$B$8,2,0)</f>
        <v/>
      </c>
    </row>
    <row r="1282">
      <c r="A1282" t="inlineStr">
        <is>
          <t>RetailBanking</t>
        </is>
      </c>
      <c r="B1282" t="inlineStr">
        <is>
          <t>Transaction</t>
        </is>
      </c>
      <c r="C1282" t="inlineStr">
        <is>
          <t>x_transaction_js_transfer_handler.aspx</t>
        </is>
      </c>
      <c r="D1282" t="inlineStr">
        <is>
          <t>RetailBanking/Transaction/x_transaction_js_transfer_handler.aspx</t>
        </is>
      </c>
      <c r="E1282" t="inlineStr">
        <is>
          <t>Complex</t>
        </is>
      </c>
      <c r="F1282" s="25">
        <f>VLOOKUP(E1282,Assumptions!$A$5:$B$8,2,0)</f>
        <v/>
      </c>
    </row>
    <row r="1283">
      <c r="A1283" t="inlineStr">
        <is>
          <t>RetailBanking</t>
        </is>
      </c>
      <c r="B1283" t="inlineStr">
        <is>
          <t>Transaction</t>
        </is>
      </c>
      <c r="C1283" t="inlineStr">
        <is>
          <t>x_transactionv1.aspx</t>
        </is>
      </c>
      <c r="D1283" t="inlineStr">
        <is>
          <t>RetailBanking/Transaction/x_transactionv1.aspx</t>
        </is>
      </c>
      <c r="E1283" t="inlineStr">
        <is>
          <t>Complex</t>
        </is>
      </c>
      <c r="F1283" s="25">
        <f>VLOOKUP(E1283,Assumptions!$A$5:$B$8,2,0)</f>
        <v/>
      </c>
    </row>
    <row r="1284">
      <c r="A1284" t="inlineStr">
        <is>
          <t>RetailBanking</t>
        </is>
      </c>
      <c r="B1284" t="inlineStr"/>
      <c r="C1284" t="inlineStr">
        <is>
          <t>UserDefLetterTemplateCons.aspx</t>
        </is>
      </c>
      <c r="D1284" t="inlineStr">
        <is>
          <t>RetailBanking/UserDefLetterTemplateCons.aspx</t>
        </is>
      </c>
      <c r="E1284" t="inlineStr">
        <is>
          <t>Medium</t>
        </is>
      </c>
      <c r="F1284" s="25">
        <f>VLOOKUP(E1284,Assumptions!$A$5:$B$8,2,0)</f>
        <v/>
      </c>
    </row>
    <row r="1285">
      <c r="A1285" t="inlineStr">
        <is>
          <t>RetailBanking</t>
        </is>
      </c>
      <c r="B1285" t="inlineStr">
        <is>
          <t>Utilities</t>
        </is>
      </c>
      <c r="C1285" t="inlineStr">
        <is>
          <t>CentralizedDayBegin.aspx</t>
        </is>
      </c>
      <c r="D1285" t="inlineStr">
        <is>
          <t>RetailBanking/Utilities/CentralizedDayBegin.aspx</t>
        </is>
      </c>
      <c r="E1285" t="inlineStr">
        <is>
          <t>Medium</t>
        </is>
      </c>
      <c r="F1285" s="25">
        <f>VLOOKUP(E1285,Assumptions!$A$5:$B$8,2,0)</f>
        <v/>
      </c>
    </row>
    <row r="1286">
      <c r="A1286" t="inlineStr">
        <is>
          <t>RetailBanking</t>
        </is>
      </c>
      <c r="B1286" t="inlineStr">
        <is>
          <t>Utilities</t>
        </is>
      </c>
      <c r="C1286" t="inlineStr">
        <is>
          <t>DayendCentral.aspx</t>
        </is>
      </c>
      <c r="D1286" t="inlineStr">
        <is>
          <t>RetailBanking/Utilities/DayendCentral.aspx</t>
        </is>
      </c>
      <c r="E1286" t="inlineStr">
        <is>
          <t>Medium</t>
        </is>
      </c>
      <c r="F1286" s="25">
        <f>VLOOKUP(E1286,Assumptions!$A$5:$B$8,2,0)</f>
        <v/>
      </c>
    </row>
    <row r="1287">
      <c r="A1287" t="inlineStr">
        <is>
          <t>RetailBanking</t>
        </is>
      </c>
      <c r="B1287" t="inlineStr">
        <is>
          <t>Utilities</t>
        </is>
      </c>
      <c r="C1287" t="inlineStr">
        <is>
          <t>DayendLog.aspx</t>
        </is>
      </c>
      <c r="D1287" t="inlineStr">
        <is>
          <t>RetailBanking/Utilities/DayendLog.aspx</t>
        </is>
      </c>
      <c r="E1287" t="inlineStr">
        <is>
          <t>Medium</t>
        </is>
      </c>
      <c r="F1287" s="25">
        <f>VLOOKUP(E1287,Assumptions!$A$5:$B$8,2,0)</f>
        <v/>
      </c>
    </row>
    <row r="1288">
      <c r="A1288" t="inlineStr">
        <is>
          <t>RetailBanking</t>
        </is>
      </c>
      <c r="B1288" t="inlineStr">
        <is>
          <t>Utilities</t>
        </is>
      </c>
      <c r="C1288" t="inlineStr">
        <is>
          <t>DayendParamConfig.aspx</t>
        </is>
      </c>
      <c r="D1288" t="inlineStr">
        <is>
          <t>RetailBanking/Utilities/DayendParamConfig.aspx</t>
        </is>
      </c>
      <c r="E1288" t="inlineStr">
        <is>
          <t>Medium</t>
        </is>
      </c>
      <c r="F1288" s="25">
        <f>VLOOKUP(E1288,Assumptions!$A$5:$B$8,2,0)</f>
        <v/>
      </c>
    </row>
    <row r="1289">
      <c r="A1289" t="inlineStr">
        <is>
          <t>RetailBanking</t>
        </is>
      </c>
      <c r="B1289" t="inlineStr">
        <is>
          <t>Utilities</t>
        </is>
      </c>
      <c r="C1289" t="inlineStr">
        <is>
          <t>LedgerUpdateReq.aspx</t>
        </is>
      </c>
      <c r="D1289" t="inlineStr">
        <is>
          <t>RetailBanking/Utilities/LedgerUpdateReq.aspx</t>
        </is>
      </c>
      <c r="E1289" t="inlineStr">
        <is>
          <t>Medium</t>
        </is>
      </c>
      <c r="F1289" s="25">
        <f>VLOOKUP(E1289,Assumptions!$A$5:$B$8,2,0)</f>
        <v/>
      </c>
    </row>
    <row r="1290">
      <c r="A1290" t="inlineStr">
        <is>
          <t>RetailBanking</t>
        </is>
      </c>
      <c r="B1290" t="inlineStr">
        <is>
          <t>Utilities</t>
        </is>
      </c>
      <c r="C1290" t="inlineStr">
        <is>
          <t>LogDetails.aspx</t>
        </is>
      </c>
      <c r="D1290" t="inlineStr">
        <is>
          <t>RetailBanking/Utilities/LogDetails.aspx</t>
        </is>
      </c>
      <c r="E1290" t="inlineStr">
        <is>
          <t>Medium</t>
        </is>
      </c>
      <c r="F1290" s="25">
        <f>VLOOKUP(E1290,Assumptions!$A$5:$B$8,2,0)</f>
        <v/>
      </c>
    </row>
    <row r="1291">
      <c r="A1291" t="inlineStr">
        <is>
          <t>RetailBanking</t>
        </is>
      </c>
      <c r="B1291" t="inlineStr">
        <is>
          <t>Utilities</t>
        </is>
      </c>
      <c r="C1291" t="inlineStr">
        <is>
          <t>SMSOtherChLog.aspx</t>
        </is>
      </c>
      <c r="D1291" t="inlineStr">
        <is>
          <t>RetailBanking/Utilities/SMSOtherChLog.aspx</t>
        </is>
      </c>
      <c r="E1291" t="inlineStr">
        <is>
          <t>Medium</t>
        </is>
      </c>
      <c r="F1291" s="25">
        <f>VLOOKUP(E1291,Assumptions!$A$5:$B$8,2,0)</f>
        <v/>
      </c>
    </row>
    <row r="1292">
      <c r="A1292" t="inlineStr">
        <is>
          <t>RetailBanking</t>
        </is>
      </c>
      <c r="B1292" t="inlineStr">
        <is>
          <t>Utilities</t>
        </is>
      </c>
      <c r="C1292" t="inlineStr">
        <is>
          <t>c_RepaymentSchedule.aspx</t>
        </is>
      </c>
      <c r="D1292" t="inlineStr">
        <is>
          <t>RetailBanking/Utilities/c_RepaymentSchedule.aspx</t>
        </is>
      </c>
      <c r="E1292" t="inlineStr">
        <is>
          <t>Medium</t>
        </is>
      </c>
      <c r="F1292" s="25">
        <f>VLOOKUP(E1292,Assumptions!$A$5:$B$8,2,0)</f>
        <v/>
      </c>
    </row>
    <row r="1293">
      <c r="A1293" t="inlineStr">
        <is>
          <t>RetailBanking</t>
        </is>
      </c>
      <c r="B1293" t="inlineStr"/>
      <c r="C1293" t="inlineStr">
        <is>
          <t>ValidateBenName.aspx</t>
        </is>
      </c>
      <c r="D1293" t="inlineStr">
        <is>
          <t>RetailBanking/ValidateBenName.aspx</t>
        </is>
      </c>
      <c r="E1293" t="inlineStr">
        <is>
          <t>Medium</t>
        </is>
      </c>
      <c r="F1293" s="25">
        <f>VLOOKUP(E1293,Assumptions!$A$5:$B$8,2,0)</f>
        <v/>
      </c>
    </row>
    <row r="1294">
      <c r="A1294" t="inlineStr">
        <is>
          <t>RetailBanking</t>
        </is>
      </c>
      <c r="B1294" t="inlineStr"/>
      <c r="C1294" t="inlineStr">
        <is>
          <t>VerifyMobNo.aspx</t>
        </is>
      </c>
      <c r="D1294" t="inlineStr">
        <is>
          <t>RetailBanking/VerifyMobNo.aspx</t>
        </is>
      </c>
      <c r="E1294" t="inlineStr">
        <is>
          <t>Medium</t>
        </is>
      </c>
      <c r="F1294" s="25">
        <f>VLOOKUP(E1294,Assumptions!$A$5:$B$8,2,0)</f>
        <v/>
      </c>
    </row>
    <row r="1295">
      <c r="A1295" t="inlineStr">
        <is>
          <t>RetailBanking</t>
        </is>
      </c>
      <c r="B1295" t="inlineStr"/>
      <c r="C1295" t="inlineStr">
        <is>
          <t>VoucherPrintPopup.aspx</t>
        </is>
      </c>
      <c r="D1295" t="inlineStr">
        <is>
          <t>RetailBanking/VoucherPrintPopup.aspx</t>
        </is>
      </c>
      <c r="E1295" t="inlineStr">
        <is>
          <t>Medium</t>
        </is>
      </c>
      <c r="F1295" s="25">
        <f>VLOOKUP(E1295,Assumptions!$A$5:$B$8,2,0)</f>
        <v/>
      </c>
    </row>
    <row r="1296">
      <c r="A1296" t="inlineStr">
        <is>
          <t>RetailBanking</t>
        </is>
      </c>
      <c r="B1296" t="inlineStr"/>
      <c r="C1296" t="inlineStr">
        <is>
          <t>VoucherPrinting.aspx</t>
        </is>
      </c>
      <c r="D1296" t="inlineStr">
        <is>
          <t>RetailBanking/VoucherPrinting.aspx</t>
        </is>
      </c>
      <c r="E1296" t="inlineStr">
        <is>
          <t>Medium</t>
        </is>
      </c>
      <c r="F1296" s="25">
        <f>VLOOKUP(E1296,Assumptions!$A$5:$B$8,2,0)</f>
        <v/>
      </c>
    </row>
    <row r="1297">
      <c r="A1297" t="inlineStr">
        <is>
          <t>RetailBanking</t>
        </is>
      </c>
      <c r="B1297" t="inlineStr"/>
      <c r="C1297" t="inlineStr">
        <is>
          <t>VoucherViewer.aspx</t>
        </is>
      </c>
      <c r="D1297" t="inlineStr">
        <is>
          <t>RetailBanking/VoucherViewer.aspx</t>
        </is>
      </c>
      <c r="E1297" t="inlineStr">
        <is>
          <t>Medium</t>
        </is>
      </c>
      <c r="F1297" s="25">
        <f>VLOOKUP(E1297,Assumptions!$A$5:$B$8,2,0)</f>
        <v/>
      </c>
    </row>
    <row r="1298">
      <c r="A1298" t="inlineStr">
        <is>
          <t>RetailBanking</t>
        </is>
      </c>
      <c r="B1298" t="inlineStr"/>
      <c r="C1298" t="inlineStr">
        <is>
          <t>VoucherViewerPopup.aspx</t>
        </is>
      </c>
      <c r="D1298" t="inlineStr">
        <is>
          <t>RetailBanking/VoucherViewerPopup.aspx</t>
        </is>
      </c>
      <c r="E1298" t="inlineStr">
        <is>
          <t>Medium</t>
        </is>
      </c>
      <c r="F1298" s="25">
        <f>VLOOKUP(E1298,Assumptions!$A$5:$B$8,2,0)</f>
        <v/>
      </c>
    </row>
    <row r="1299">
      <c r="A1299" t="inlineStr">
        <is>
          <t>RetailBanking</t>
        </is>
      </c>
      <c r="B1299" t="inlineStr"/>
      <c r="C1299" t="inlineStr">
        <is>
          <t>WriteOffAccount.aspx</t>
        </is>
      </c>
      <c r="D1299" t="inlineStr">
        <is>
          <t>RetailBanking/WriteOffAccount.aspx</t>
        </is>
      </c>
      <c r="E1299" t="inlineStr">
        <is>
          <t>Medium</t>
        </is>
      </c>
      <c r="F1299" s="25">
        <f>VLOOKUP(E1299,Assumptions!$A$5:$B$8,2,0)</f>
        <v/>
      </c>
    </row>
    <row r="1300">
      <c r="A1300" t="inlineStr">
        <is>
          <t>RetailBanking</t>
        </is>
      </c>
      <c r="B1300" t="inlineStr"/>
      <c r="C1300" t="inlineStr">
        <is>
          <t>WriteOffRecovery.aspx</t>
        </is>
      </c>
      <c r="D1300" t="inlineStr">
        <is>
          <t>RetailBanking/WriteOffRecovery.aspx</t>
        </is>
      </c>
      <c r="E1300" t="inlineStr">
        <is>
          <t>Medium</t>
        </is>
      </c>
      <c r="F1300" s="25">
        <f>VLOOKUP(E1300,Assumptions!$A$5:$B$8,2,0)</f>
        <v/>
      </c>
    </row>
    <row r="1301">
      <c r="A1301" t="inlineStr">
        <is>
          <t>RetailBanking</t>
        </is>
      </c>
      <c r="B1301" t="inlineStr">
        <is>
          <t>YearEndActivities</t>
        </is>
      </c>
      <c r="C1301" t="inlineStr">
        <is>
          <t>BalanceTransfer.aspx</t>
        </is>
      </c>
      <c r="D1301" t="inlineStr">
        <is>
          <t>RetailBanking/YearEndActivities/BalanceTransfer.aspx</t>
        </is>
      </c>
      <c r="E1301" t="inlineStr">
        <is>
          <t>Medium</t>
        </is>
      </c>
      <c r="F1301" s="25">
        <f>VLOOKUP(E1301,Assumptions!$A$5:$B$8,2,0)</f>
        <v/>
      </c>
    </row>
    <row r="1302">
      <c r="A1302" t="inlineStr">
        <is>
          <t>RetailBanking</t>
        </is>
      </c>
      <c r="B1302" t="inlineStr">
        <is>
          <t>YearEndActivities</t>
        </is>
      </c>
      <c r="C1302" t="inlineStr">
        <is>
          <t>YearEnd.aspx</t>
        </is>
      </c>
      <c r="D1302" t="inlineStr">
        <is>
          <t>RetailBanking/YearEndActivities/YearEnd.aspx</t>
        </is>
      </c>
      <c r="E1302" t="inlineStr">
        <is>
          <t>Medium</t>
        </is>
      </c>
      <c r="F1302" s="25">
        <f>VLOOKUP(E1302,Assumptions!$A$5:$B$8,2,0)</f>
        <v/>
      </c>
    </row>
    <row r="1303">
      <c r="A1303" t="inlineStr">
        <is>
          <t>RetailBanking</t>
        </is>
      </c>
      <c r="B1303" t="inlineStr"/>
      <c r="C1303" t="inlineStr">
        <is>
          <t>a_UserPassTranLimit.aspx</t>
        </is>
      </c>
      <c r="D1303" t="inlineStr">
        <is>
          <t>RetailBanking/a_UserPassTranLimit.aspx</t>
        </is>
      </c>
      <c r="E1303" t="inlineStr">
        <is>
          <t>Medium</t>
        </is>
      </c>
      <c r="F1303" s="25">
        <f>VLOOKUP(E1303,Assumptions!$A$5:$B$8,2,0)</f>
        <v/>
      </c>
    </row>
    <row r="1304">
      <c r="A1304" t="inlineStr">
        <is>
          <t>RetailBanking</t>
        </is>
      </c>
      <c r="B1304" t="inlineStr">
        <is>
          <t>aadhar</t>
        </is>
      </c>
      <c r="C1304" t="inlineStr">
        <is>
          <t>PfmsTranReport.aspx</t>
        </is>
      </c>
      <c r="D1304" t="inlineStr">
        <is>
          <t>RetailBanking/aadhar/PfmsTranReport.aspx</t>
        </is>
      </c>
      <c r="E1304" t="inlineStr">
        <is>
          <t>Report</t>
        </is>
      </c>
      <c r="F1304" s="25">
        <f>VLOOKUP(E1304,Assumptions!$A$5:$B$8,2,0)</f>
        <v/>
      </c>
    </row>
    <row r="1305">
      <c r="A1305" t="inlineStr">
        <is>
          <t>RetailBanking</t>
        </is>
      </c>
      <c r="B1305" t="inlineStr">
        <is>
          <t>aadhar</t>
        </is>
      </c>
      <c r="C1305" t="inlineStr">
        <is>
          <t>aadhar_mapping_request.aspx</t>
        </is>
      </c>
      <c r="D1305" t="inlineStr">
        <is>
          <t>RetailBanking/aadhar/aadhar_mapping_request.aspx</t>
        </is>
      </c>
      <c r="E1305" t="inlineStr">
        <is>
          <t>Medium</t>
        </is>
      </c>
      <c r="F1305" s="25">
        <f>VLOOKUP(E1305,Assumptions!$A$5:$B$8,2,0)</f>
        <v/>
      </c>
    </row>
    <row r="1306">
      <c r="A1306" t="inlineStr">
        <is>
          <t>RetailBanking</t>
        </is>
      </c>
      <c r="B1306" t="inlineStr">
        <is>
          <t>aadhar</t>
        </is>
      </c>
      <c r="C1306" t="inlineStr">
        <is>
          <t>ach_inward.aspx</t>
        </is>
      </c>
      <c r="D1306" t="inlineStr">
        <is>
          <t>RetailBanking/aadhar/ach_inward.aspx</t>
        </is>
      </c>
      <c r="E1306" t="inlineStr">
        <is>
          <t>Medium</t>
        </is>
      </c>
      <c r="F1306" s="25">
        <f>VLOOKUP(E1306,Assumptions!$A$5:$B$8,2,0)</f>
        <v/>
      </c>
    </row>
    <row r="1307">
      <c r="A1307" t="inlineStr">
        <is>
          <t>RetailBanking</t>
        </is>
      </c>
      <c r="B1307" t="inlineStr">
        <is>
          <t>aadhar</t>
        </is>
      </c>
      <c r="C1307" t="inlineStr">
        <is>
          <t>apbs_inward.aspx</t>
        </is>
      </c>
      <c r="D1307" t="inlineStr">
        <is>
          <t>RetailBanking/aadhar/apbs_inward.aspx</t>
        </is>
      </c>
      <c r="E1307" t="inlineStr">
        <is>
          <t>Medium</t>
        </is>
      </c>
      <c r="F1307" s="25">
        <f>VLOOKUP(E1307,Assumptions!$A$5:$B$8,2,0)</f>
        <v/>
      </c>
    </row>
    <row r="1308">
      <c r="A1308" t="inlineStr">
        <is>
          <t>RetailBanking</t>
        </is>
      </c>
      <c r="B1308" t="inlineStr">
        <is>
          <t>aadhar</t>
        </is>
      </c>
      <c r="C1308" t="inlineStr">
        <is>
          <t>apbs_inwardprocess_details.aspx</t>
        </is>
      </c>
      <c r="D1308" t="inlineStr">
        <is>
          <t>RetailBanking/aadhar/apbs_inwardprocess_details.aspx</t>
        </is>
      </c>
      <c r="E1308" t="inlineStr">
        <is>
          <t>Medium</t>
        </is>
      </c>
      <c r="F1308" s="25">
        <f>VLOOKUP(E1308,Assumptions!$A$5:$B$8,2,0)</f>
        <v/>
      </c>
    </row>
    <row r="1309">
      <c r="A1309" t="inlineStr">
        <is>
          <t>RetailBanking</t>
        </is>
      </c>
      <c r="B1309" t="inlineStr">
        <is>
          <t>aadhar</t>
        </is>
      </c>
      <c r="C1309" t="inlineStr">
        <is>
          <t>dbtl.aspx</t>
        </is>
      </c>
      <c r="D1309" t="inlineStr">
        <is>
          <t>RetailBanking/aadhar/dbtl.aspx</t>
        </is>
      </c>
      <c r="E1309" t="inlineStr">
        <is>
          <t>Medium</t>
        </is>
      </c>
      <c r="F1309" s="25">
        <f>VLOOKUP(E1309,Assumptions!$A$5:$B$8,2,0)</f>
        <v/>
      </c>
    </row>
    <row r="1310">
      <c r="A1310" t="inlineStr">
        <is>
          <t>RetailBanking</t>
        </is>
      </c>
      <c r="B1310" t="inlineStr"/>
      <c r="C1310" t="inlineStr">
        <is>
          <t>accchargewaiveoff.aspx</t>
        </is>
      </c>
      <c r="D1310" t="inlineStr">
        <is>
          <t>RetailBanking/accchargewaiveoff.aspx</t>
        </is>
      </c>
      <c r="E1310" t="inlineStr">
        <is>
          <t>Medium</t>
        </is>
      </c>
      <c r="F1310" s="25">
        <f>VLOOKUP(E1310,Assumptions!$A$5:$B$8,2,0)</f>
        <v/>
      </c>
    </row>
    <row r="1311">
      <c r="A1311" t="inlineStr">
        <is>
          <t>RetailBanking</t>
        </is>
      </c>
      <c r="B1311" t="inlineStr"/>
      <c r="C1311" t="inlineStr">
        <is>
          <t>b_AccHoldingAmount.aspx</t>
        </is>
      </c>
      <c r="D1311" t="inlineStr">
        <is>
          <t>RetailBanking/b_AccHoldingAmount.aspx</t>
        </is>
      </c>
      <c r="E1311" t="inlineStr">
        <is>
          <t>Medium</t>
        </is>
      </c>
      <c r="F1311" s="25">
        <f>VLOOKUP(E1311,Assumptions!$A$5:$B$8,2,0)</f>
        <v/>
      </c>
    </row>
    <row r="1312">
      <c r="A1312" t="inlineStr">
        <is>
          <t>RetailBanking</t>
        </is>
      </c>
      <c r="B1312" t="inlineStr"/>
      <c r="C1312" t="inlineStr">
        <is>
          <t>b_AccountHeadConfig.aspx</t>
        </is>
      </c>
      <c r="D1312" t="inlineStr">
        <is>
          <t>RetailBanking/b_AccountHeadConfig.aspx</t>
        </is>
      </c>
      <c r="E1312" t="inlineStr">
        <is>
          <t>Medium</t>
        </is>
      </c>
      <c r="F1312" s="25">
        <f>VLOOKUP(E1312,Assumptions!$A$5:$B$8,2,0)</f>
        <v/>
      </c>
    </row>
    <row r="1313">
      <c r="A1313" t="inlineStr">
        <is>
          <t>RetailBanking</t>
        </is>
      </c>
      <c r="B1313" t="inlineStr"/>
      <c r="C1313" t="inlineStr">
        <is>
          <t>b_AgentAreaTrf.aspx</t>
        </is>
      </c>
      <c r="D1313" t="inlineStr">
        <is>
          <t>RetailBanking/b_AgentAreaTrf.aspx</t>
        </is>
      </c>
      <c r="E1313" t="inlineStr">
        <is>
          <t>Medium</t>
        </is>
      </c>
      <c r="F1313" s="25">
        <f>VLOOKUP(E1313,Assumptions!$A$5:$B$8,2,0)</f>
        <v/>
      </c>
    </row>
    <row r="1314">
      <c r="A1314" t="inlineStr">
        <is>
          <t>RetailBanking</t>
        </is>
      </c>
      <c r="B1314" t="inlineStr"/>
      <c r="C1314" t="inlineStr">
        <is>
          <t>b_AgentDataTransferNew.aspx</t>
        </is>
      </c>
      <c r="D1314" t="inlineStr">
        <is>
          <t>RetailBanking/b_AgentDataTransferNew.aspx</t>
        </is>
      </c>
      <c r="E1314" t="inlineStr">
        <is>
          <t>Medium</t>
        </is>
      </c>
      <c r="F1314" s="25">
        <f>VLOOKUP(E1314,Assumptions!$A$5:$B$8,2,0)</f>
        <v/>
      </c>
    </row>
    <row r="1315">
      <c r="A1315" t="inlineStr">
        <is>
          <t>RetailBanking</t>
        </is>
      </c>
      <c r="B1315" t="inlineStr"/>
      <c r="C1315" t="inlineStr">
        <is>
          <t>b_AgentFSATrf.aspx</t>
        </is>
      </c>
      <c r="D1315" t="inlineStr">
        <is>
          <t>RetailBanking/b_AgentFSATrf.aspx</t>
        </is>
      </c>
      <c r="E1315" t="inlineStr">
        <is>
          <t>Medium</t>
        </is>
      </c>
      <c r="F1315" s="25">
        <f>VLOOKUP(E1315,Assumptions!$A$5:$B$8,2,0)</f>
        <v/>
      </c>
    </row>
    <row r="1316">
      <c r="A1316" t="inlineStr">
        <is>
          <t>RetailBanking</t>
        </is>
      </c>
      <c r="B1316" t="inlineStr"/>
      <c r="C1316" t="inlineStr">
        <is>
          <t>b_BranchDetails.aspx</t>
        </is>
      </c>
      <c r="D1316" t="inlineStr">
        <is>
          <t>RetailBanking/b_BranchDetails.aspx</t>
        </is>
      </c>
      <c r="E1316" t="inlineStr">
        <is>
          <t>Medium</t>
        </is>
      </c>
      <c r="F1316" s="25">
        <f>VLOOKUP(E1316,Assumptions!$A$5:$B$8,2,0)</f>
        <v/>
      </c>
    </row>
    <row r="1317">
      <c r="A1317" t="inlineStr">
        <is>
          <t>RetailBanking</t>
        </is>
      </c>
      <c r="B1317" t="inlineStr"/>
      <c r="C1317" t="inlineStr">
        <is>
          <t>b_ClientTDSCashLimit.aspx</t>
        </is>
      </c>
      <c r="D1317" t="inlineStr">
        <is>
          <t>RetailBanking/b_ClientTDSCashLimit.aspx</t>
        </is>
      </c>
      <c r="E1317" t="inlineStr">
        <is>
          <t>Medium</t>
        </is>
      </c>
      <c r="F1317" s="25">
        <f>VLOOKUP(E1317,Assumptions!$A$5:$B$8,2,0)</f>
        <v/>
      </c>
    </row>
    <row r="1318">
      <c r="A1318" t="inlineStr">
        <is>
          <t>RetailBanking</t>
        </is>
      </c>
      <c r="B1318" t="inlineStr"/>
      <c r="C1318" t="inlineStr">
        <is>
          <t>b_ContraActivityMapping.aspx</t>
        </is>
      </c>
      <c r="D1318" t="inlineStr">
        <is>
          <t>RetailBanking/b_ContraActivityMapping.aspx</t>
        </is>
      </c>
      <c r="E1318" t="inlineStr">
        <is>
          <t>Medium</t>
        </is>
      </c>
      <c r="F1318" s="25">
        <f>VLOOKUP(E1318,Assumptions!$A$5:$B$8,2,0)</f>
        <v/>
      </c>
    </row>
    <row r="1319">
      <c r="A1319" t="inlineStr">
        <is>
          <t>RetailBanking</t>
        </is>
      </c>
      <c r="B1319" t="inlineStr"/>
      <c r="C1319" t="inlineStr">
        <is>
          <t>b_CounterParty.aspx</t>
        </is>
      </c>
      <c r="D1319" t="inlineStr">
        <is>
          <t>RetailBanking/b_CounterParty.aspx</t>
        </is>
      </c>
      <c r="E1319" t="inlineStr">
        <is>
          <t>Medium</t>
        </is>
      </c>
      <c r="F1319" s="25">
        <f>VLOOKUP(E1319,Assumptions!$A$5:$B$8,2,0)</f>
        <v/>
      </c>
    </row>
    <row r="1320">
      <c r="A1320" t="inlineStr">
        <is>
          <t>RetailBanking</t>
        </is>
      </c>
      <c r="B1320" t="inlineStr"/>
      <c r="C1320" t="inlineStr">
        <is>
          <t>b_DailyClientAccountStatus.aspx</t>
        </is>
      </c>
      <c r="D1320" t="inlineStr">
        <is>
          <t>RetailBanking/b_DailyClientAccountStatus.aspx</t>
        </is>
      </c>
      <c r="E1320" t="inlineStr">
        <is>
          <t>Medium</t>
        </is>
      </c>
      <c r="F1320" s="25">
        <f>VLOOKUP(E1320,Assumptions!$A$5:$B$8,2,0)</f>
        <v/>
      </c>
    </row>
    <row r="1321">
      <c r="A1321" t="inlineStr">
        <is>
          <t>RetailBanking</t>
        </is>
      </c>
      <c r="B1321" t="inlineStr"/>
      <c r="C1321" t="inlineStr">
        <is>
          <t>b_DayEndParamLogs.aspx</t>
        </is>
      </c>
      <c r="D1321" t="inlineStr">
        <is>
          <t>RetailBanking/b_DayEndParamLogs.aspx</t>
        </is>
      </c>
      <c r="E1321" t="inlineStr">
        <is>
          <t>Medium</t>
        </is>
      </c>
      <c r="F1321" s="25">
        <f>VLOOKUP(E1321,Assumptions!$A$5:$B$8,2,0)</f>
        <v/>
      </c>
    </row>
    <row r="1322">
      <c r="A1322" t="inlineStr">
        <is>
          <t>RetailBanking</t>
        </is>
      </c>
      <c r="B1322" t="inlineStr"/>
      <c r="C1322" t="inlineStr">
        <is>
          <t>b_DayEndParamLogsCons.aspx</t>
        </is>
      </c>
      <c r="D1322" t="inlineStr">
        <is>
          <t>RetailBanking/b_DayEndParamLogsCons.aspx</t>
        </is>
      </c>
      <c r="E1322" t="inlineStr">
        <is>
          <t>Medium</t>
        </is>
      </c>
      <c r="F1322" s="25">
        <f>VLOOKUP(E1322,Assumptions!$A$5:$B$8,2,0)</f>
        <v/>
      </c>
    </row>
    <row r="1323">
      <c r="A1323" t="inlineStr">
        <is>
          <t>RetailBanking</t>
        </is>
      </c>
      <c r="B1323" t="inlineStr"/>
      <c r="C1323" t="inlineStr">
        <is>
          <t>b_DayendCheckConfig.aspx</t>
        </is>
      </c>
      <c r="D1323" t="inlineStr">
        <is>
          <t>RetailBanking/b_DayendCheckConfig.aspx</t>
        </is>
      </c>
      <c r="E1323" t="inlineStr">
        <is>
          <t>Medium</t>
        </is>
      </c>
      <c r="F1323" s="25">
        <f>VLOOKUP(E1323,Assumptions!$A$5:$B$8,2,0)</f>
        <v/>
      </c>
    </row>
    <row r="1324">
      <c r="A1324" t="inlineStr">
        <is>
          <t>RetailBanking</t>
        </is>
      </c>
      <c r="B1324" t="inlineStr"/>
      <c r="C1324" t="inlineStr">
        <is>
          <t>b_DividendFinYearCOAMap.aspx</t>
        </is>
      </c>
      <c r="D1324" t="inlineStr">
        <is>
          <t>RetailBanking/b_DividendFinYearCOAMap.aspx</t>
        </is>
      </c>
      <c r="E1324" t="inlineStr">
        <is>
          <t>Medium</t>
        </is>
      </c>
      <c r="F1324" s="25">
        <f>VLOOKUP(E1324,Assumptions!$A$5:$B$8,2,0)</f>
        <v/>
      </c>
    </row>
    <row r="1325">
      <c r="A1325" t="inlineStr">
        <is>
          <t>RetailBanking</t>
        </is>
      </c>
      <c r="B1325" t="inlineStr"/>
      <c r="C1325" t="inlineStr">
        <is>
          <t>b_Document.aspx</t>
        </is>
      </c>
      <c r="D1325" t="inlineStr">
        <is>
          <t>RetailBanking/b_Document.aspx</t>
        </is>
      </c>
      <c r="E1325" t="inlineStr">
        <is>
          <t>Medium</t>
        </is>
      </c>
      <c r="F1325" s="25">
        <f>VLOOKUP(E1325,Assumptions!$A$5:$B$8,2,0)</f>
        <v/>
      </c>
    </row>
    <row r="1326">
      <c r="A1326" t="inlineStr">
        <is>
          <t>RetailBanking</t>
        </is>
      </c>
      <c r="B1326" t="inlineStr"/>
      <c r="C1326" t="inlineStr">
        <is>
          <t>b_DocumentType.aspx</t>
        </is>
      </c>
      <c r="D1326" t="inlineStr">
        <is>
          <t>RetailBanking/b_DocumentType.aspx</t>
        </is>
      </c>
      <c r="E1326" t="inlineStr">
        <is>
          <t>Medium</t>
        </is>
      </c>
      <c r="F1326" s="25">
        <f>VLOOKUP(E1326,Assumptions!$A$5:$B$8,2,0)</f>
        <v/>
      </c>
    </row>
    <row r="1327">
      <c r="A1327" t="inlineStr">
        <is>
          <t>RetailBanking</t>
        </is>
      </c>
      <c r="B1327" t="inlineStr"/>
      <c r="C1327" t="inlineStr">
        <is>
          <t>b_DormantLetterTemplate.aspx</t>
        </is>
      </c>
      <c r="D1327" t="inlineStr">
        <is>
          <t>RetailBanking/b_DormantLetterTemplate.aspx</t>
        </is>
      </c>
      <c r="E1327" t="inlineStr">
        <is>
          <t>Medium</t>
        </is>
      </c>
      <c r="F1327" s="25">
        <f>VLOOKUP(E1327,Assumptions!$A$5:$B$8,2,0)</f>
        <v/>
      </c>
    </row>
    <row r="1328">
      <c r="A1328" t="inlineStr">
        <is>
          <t>RetailBanking</t>
        </is>
      </c>
      <c r="B1328" t="inlineStr"/>
      <c r="C1328" t="inlineStr">
        <is>
          <t>b_EmployeeSignature.aspx</t>
        </is>
      </c>
      <c r="D1328" t="inlineStr">
        <is>
          <t>RetailBanking/b_EmployeeSignature.aspx</t>
        </is>
      </c>
      <c r="E1328" t="inlineStr">
        <is>
          <t>Medium</t>
        </is>
      </c>
      <c r="F1328" s="25">
        <f>VLOOKUP(E1328,Assumptions!$A$5:$B$8,2,0)</f>
        <v/>
      </c>
    </row>
    <row r="1329">
      <c r="A1329" t="inlineStr">
        <is>
          <t>RetailBanking</t>
        </is>
      </c>
      <c r="B1329" t="inlineStr"/>
      <c r="C1329" t="inlineStr">
        <is>
          <t>b_GlContraHeadMapping.aspx</t>
        </is>
      </c>
      <c r="D1329" t="inlineStr">
        <is>
          <t>RetailBanking/b_GlContraHeadMapping.aspx</t>
        </is>
      </c>
      <c r="E1329" t="inlineStr">
        <is>
          <t>Medium</t>
        </is>
      </c>
      <c r="F1329" s="25">
        <f>VLOOKUP(E1329,Assumptions!$A$5:$B$8,2,0)</f>
        <v/>
      </c>
    </row>
    <row r="1330">
      <c r="A1330" t="inlineStr">
        <is>
          <t>RetailBanking</t>
        </is>
      </c>
      <c r="B1330" t="inlineStr"/>
      <c r="C1330" t="inlineStr">
        <is>
          <t>b_GovtSecEarmarkParticulars.aspx</t>
        </is>
      </c>
      <c r="D1330" t="inlineStr">
        <is>
          <t>RetailBanking/b_GovtSecEarmarkParticulars.aspx</t>
        </is>
      </c>
      <c r="E1330" t="inlineStr">
        <is>
          <t>Medium</t>
        </is>
      </c>
      <c r="F1330" s="25">
        <f>VLOOKUP(E1330,Assumptions!$A$5:$B$8,2,0)</f>
        <v/>
      </c>
    </row>
    <row r="1331">
      <c r="A1331" t="inlineStr">
        <is>
          <t>RetailBanking</t>
        </is>
      </c>
      <c r="B1331" t="inlineStr"/>
      <c r="C1331" t="inlineStr">
        <is>
          <t>b_InvestmentAccountSetting.aspx</t>
        </is>
      </c>
      <c r="D1331" t="inlineStr">
        <is>
          <t>RetailBanking/b_InvestmentAccountSetting.aspx</t>
        </is>
      </c>
      <c r="E1331" t="inlineStr">
        <is>
          <t>Medium</t>
        </is>
      </c>
      <c r="F1331" s="25">
        <f>VLOOKUP(E1331,Assumptions!$A$5:$B$8,2,0)</f>
        <v/>
      </c>
    </row>
    <row r="1332">
      <c r="A1332" t="inlineStr">
        <is>
          <t>RetailBanking</t>
        </is>
      </c>
      <c r="B1332" t="inlineStr"/>
      <c r="C1332" t="inlineStr">
        <is>
          <t>b_LoanInterestRule.aspx</t>
        </is>
      </c>
      <c r="D1332" t="inlineStr">
        <is>
          <t>RetailBanking/b_LoanInterestRule.aspx</t>
        </is>
      </c>
      <c r="E1332" t="inlineStr">
        <is>
          <t>Medium</t>
        </is>
      </c>
      <c r="F1332" s="25">
        <f>VLOOKUP(E1332,Assumptions!$A$5:$B$8,2,0)</f>
        <v/>
      </c>
    </row>
    <row r="1333">
      <c r="A1333" t="inlineStr">
        <is>
          <t>RetailBanking</t>
        </is>
      </c>
      <c r="B1333" t="inlineStr"/>
      <c r="C1333" t="inlineStr">
        <is>
          <t>b_MFArea.aspx</t>
        </is>
      </c>
      <c r="D1333" t="inlineStr">
        <is>
          <t>RetailBanking/b_MFArea.aspx</t>
        </is>
      </c>
      <c r="E1333" t="inlineStr">
        <is>
          <t>Medium</t>
        </is>
      </c>
      <c r="F1333" s="25">
        <f>VLOOKUP(E1333,Assumptions!$A$5:$B$8,2,0)</f>
        <v/>
      </c>
    </row>
    <row r="1334">
      <c r="A1334" t="inlineStr">
        <is>
          <t>RetailBanking</t>
        </is>
      </c>
      <c r="B1334" t="inlineStr"/>
      <c r="C1334" t="inlineStr">
        <is>
          <t>b_MFCreditOfficer.aspx</t>
        </is>
      </c>
      <c r="D1334" t="inlineStr">
        <is>
          <t>RetailBanking/b_MFCreditOfficer.aspx</t>
        </is>
      </c>
      <c r="E1334" t="inlineStr">
        <is>
          <t>Medium</t>
        </is>
      </c>
      <c r="F1334" s="25">
        <f>VLOOKUP(E1334,Assumptions!$A$5:$B$8,2,0)</f>
        <v/>
      </c>
    </row>
    <row r="1335">
      <c r="A1335" t="inlineStr">
        <is>
          <t>RetailBanking</t>
        </is>
      </c>
      <c r="B1335" t="inlineStr"/>
      <c r="C1335" t="inlineStr">
        <is>
          <t>b_PigmyCommisionMapping.aspx</t>
        </is>
      </c>
      <c r="D1335" t="inlineStr">
        <is>
          <t>RetailBanking/b_PigmyCommisionMapping.aspx</t>
        </is>
      </c>
      <c r="E1335" t="inlineStr">
        <is>
          <t>Medium</t>
        </is>
      </c>
      <c r="F1335" s="25">
        <f>VLOOKUP(E1335,Assumptions!$A$5:$B$8,2,0)</f>
        <v/>
      </c>
    </row>
    <row r="1336">
      <c r="A1336" t="inlineStr">
        <is>
          <t>RetailBanking</t>
        </is>
      </c>
      <c r="B1336" t="inlineStr"/>
      <c r="C1336" t="inlineStr">
        <is>
          <t>b_PreDisbQstEntry.aspx</t>
        </is>
      </c>
      <c r="D1336" t="inlineStr">
        <is>
          <t>RetailBanking/b_PreDisbQstEntry.aspx</t>
        </is>
      </c>
      <c r="E1336" t="inlineStr">
        <is>
          <t>Medium</t>
        </is>
      </c>
      <c r="F1336" s="25">
        <f>VLOOKUP(E1336,Assumptions!$A$5:$B$8,2,0)</f>
        <v/>
      </c>
    </row>
    <row r="1337">
      <c r="A1337" t="inlineStr">
        <is>
          <t>RetailBanking</t>
        </is>
      </c>
      <c r="B1337" t="inlineStr"/>
      <c r="C1337" t="inlineStr">
        <is>
          <t>b_ProvisionShareCapital.aspx</t>
        </is>
      </c>
      <c r="D1337" t="inlineStr">
        <is>
          <t>RetailBanking/b_ProvisionShareCapital.aspx</t>
        </is>
      </c>
      <c r="E1337" t="inlineStr">
        <is>
          <t>Medium</t>
        </is>
      </c>
      <c r="F1337" s="25">
        <f>VLOOKUP(E1337,Assumptions!$A$5:$B$8,2,0)</f>
        <v/>
      </c>
    </row>
    <row r="1338">
      <c r="A1338" t="inlineStr">
        <is>
          <t>RetailBanking</t>
        </is>
      </c>
      <c r="B1338" t="inlineStr"/>
      <c r="C1338" t="inlineStr">
        <is>
          <t>b_RdFdReadyRecknor.aspx</t>
        </is>
      </c>
      <c r="D1338" t="inlineStr">
        <is>
          <t>RetailBanking/b_RdFdReadyRecknor.aspx</t>
        </is>
      </c>
      <c r="E1338" t="inlineStr">
        <is>
          <t>Medium</t>
        </is>
      </c>
      <c r="F1338" s="25">
        <f>VLOOKUP(E1338,Assumptions!$A$5:$B$8,2,0)</f>
        <v/>
      </c>
    </row>
    <row r="1339">
      <c r="A1339" t="inlineStr">
        <is>
          <t>RetailBanking</t>
        </is>
      </c>
      <c r="B1339" t="inlineStr"/>
      <c r="C1339" t="inlineStr">
        <is>
          <t>b_SMAMarking.aspx</t>
        </is>
      </c>
      <c r="D1339" t="inlineStr">
        <is>
          <t>RetailBanking/b_SMAMarking.aspx</t>
        </is>
      </c>
      <c r="E1339" t="inlineStr">
        <is>
          <t>Medium</t>
        </is>
      </c>
      <c r="F1339" s="25">
        <f>VLOOKUP(E1339,Assumptions!$A$5:$B$8,2,0)</f>
        <v/>
      </c>
    </row>
    <row r="1340">
      <c r="A1340" t="inlineStr">
        <is>
          <t>RetailBanking</t>
        </is>
      </c>
      <c r="B1340" t="inlineStr"/>
      <c r="C1340" t="inlineStr">
        <is>
          <t>b_SchoolEmployer.aspx</t>
        </is>
      </c>
      <c r="D1340" t="inlineStr">
        <is>
          <t>RetailBanking/b_SchoolEmployer.aspx</t>
        </is>
      </c>
      <c r="E1340" t="inlineStr">
        <is>
          <t>Medium</t>
        </is>
      </c>
      <c r="F1340" s="25">
        <f>VLOOKUP(E1340,Assumptions!$A$5:$B$8,2,0)</f>
        <v/>
      </c>
    </row>
    <row r="1341">
      <c r="A1341" t="inlineStr">
        <is>
          <t>RetailBanking</t>
        </is>
      </c>
      <c r="B1341" t="inlineStr"/>
      <c r="C1341" t="inlineStr">
        <is>
          <t>b_Signature.aspx</t>
        </is>
      </c>
      <c r="D1341" t="inlineStr">
        <is>
          <t>RetailBanking/b_Signature.aspx</t>
        </is>
      </c>
      <c r="E1341" t="inlineStr">
        <is>
          <t>Medium</t>
        </is>
      </c>
      <c r="F1341" s="25">
        <f>VLOOKUP(E1341,Assumptions!$A$5:$B$8,2,0)</f>
        <v/>
      </c>
    </row>
    <row r="1342">
      <c r="A1342" t="inlineStr">
        <is>
          <t>RetailBanking</t>
        </is>
      </c>
      <c r="B1342" t="inlineStr"/>
      <c r="C1342" t="inlineStr">
        <is>
          <t>b_SmsAutoMarkCOAMap.aspx</t>
        </is>
      </c>
      <c r="D1342" t="inlineStr">
        <is>
          <t>RetailBanking/b_SmsAutoMarkCOAMap.aspx</t>
        </is>
      </c>
      <c r="E1342" t="inlineStr">
        <is>
          <t>Medium</t>
        </is>
      </c>
      <c r="F1342" s="25">
        <f>VLOOKUP(E1342,Assumptions!$A$5:$B$8,2,0)</f>
        <v/>
      </c>
    </row>
    <row r="1343">
      <c r="A1343" t="inlineStr">
        <is>
          <t>RetailBanking</t>
        </is>
      </c>
      <c r="B1343" t="inlineStr"/>
      <c r="C1343" t="inlineStr">
        <is>
          <t>b_SocietiesMaster.aspx</t>
        </is>
      </c>
      <c r="D1343" t="inlineStr">
        <is>
          <t>RetailBanking/b_SocietiesMaster.aspx</t>
        </is>
      </c>
      <c r="E1343" t="inlineStr">
        <is>
          <t>Medium</t>
        </is>
      </c>
      <c r="F1343" s="25">
        <f>VLOOKUP(E1343,Assumptions!$A$5:$B$8,2,0)</f>
        <v/>
      </c>
    </row>
    <row r="1344">
      <c r="A1344" t="inlineStr">
        <is>
          <t>RetailBanking</t>
        </is>
      </c>
      <c r="B1344" t="inlineStr"/>
      <c r="C1344" t="inlineStr">
        <is>
          <t>b_SpecialInstruction.aspx</t>
        </is>
      </c>
      <c r="D1344" t="inlineStr">
        <is>
          <t>RetailBanking/b_SpecialInstruction.aspx</t>
        </is>
      </c>
      <c r="E1344" t="inlineStr">
        <is>
          <t>Medium</t>
        </is>
      </c>
      <c r="F1344" s="25">
        <f>VLOOKUP(E1344,Assumptions!$A$5:$B$8,2,0)</f>
        <v/>
      </c>
    </row>
    <row r="1345">
      <c r="A1345" t="inlineStr">
        <is>
          <t>RetailBanking</t>
        </is>
      </c>
      <c r="B1345" t="inlineStr"/>
      <c r="C1345" t="inlineStr">
        <is>
          <t>b_StaffRelieve.aspx</t>
        </is>
      </c>
      <c r="D1345" t="inlineStr">
        <is>
          <t>RetailBanking/b_StaffRelieve.aspx</t>
        </is>
      </c>
      <c r="E1345" t="inlineStr">
        <is>
          <t>Medium</t>
        </is>
      </c>
      <c r="F1345" s="25">
        <f>VLOOKUP(E1345,Assumptions!$A$5:$B$8,2,0)</f>
        <v/>
      </c>
    </row>
    <row r="1346">
      <c r="A1346" t="inlineStr">
        <is>
          <t>RetailBanking</t>
        </is>
      </c>
      <c r="B1346" t="inlineStr"/>
      <c r="C1346" t="inlineStr">
        <is>
          <t>b_ThriftGuarSchemeMap.aspx</t>
        </is>
      </c>
      <c r="D1346" t="inlineStr">
        <is>
          <t>RetailBanking/b_ThriftGuarSchemeMap.aspx</t>
        </is>
      </c>
      <c r="E1346" t="inlineStr">
        <is>
          <t>Medium</t>
        </is>
      </c>
      <c r="F1346" s="25">
        <f>VLOOKUP(E1346,Assumptions!$A$5:$B$8,2,0)</f>
        <v/>
      </c>
    </row>
    <row r="1347">
      <c r="A1347" t="inlineStr">
        <is>
          <t>RetailBanking</t>
        </is>
      </c>
      <c r="B1347" t="inlineStr"/>
      <c r="C1347" t="inlineStr">
        <is>
          <t>b_accwaiveoff.aspx</t>
        </is>
      </c>
      <c r="D1347" t="inlineStr">
        <is>
          <t>RetailBanking/b_accwaiveoff.aspx</t>
        </is>
      </c>
      <c r="E1347" t="inlineStr">
        <is>
          <t>Medium</t>
        </is>
      </c>
      <c r="F1347" s="25">
        <f>VLOOKUP(E1347,Assumptions!$A$5:$B$8,2,0)</f>
        <v/>
      </c>
    </row>
    <row r="1348">
      <c r="A1348" t="inlineStr">
        <is>
          <t>RetailBanking</t>
        </is>
      </c>
      <c r="B1348" t="inlineStr"/>
      <c r="C1348" t="inlineStr">
        <is>
          <t>c_CCAddLimit.aspx</t>
        </is>
      </c>
      <c r="D1348" t="inlineStr">
        <is>
          <t>RetailBanking/c_CCAddLimit.aspx</t>
        </is>
      </c>
      <c r="E1348" t="inlineStr">
        <is>
          <t>Medium</t>
        </is>
      </c>
      <c r="F1348" s="25">
        <f>VLOOKUP(E1348,Assumptions!$A$5:$B$8,2,0)</f>
        <v/>
      </c>
    </row>
    <row r="1349">
      <c r="A1349" t="inlineStr">
        <is>
          <t>RetailBanking</t>
        </is>
      </c>
      <c r="B1349" t="inlineStr"/>
      <c r="C1349" t="inlineStr">
        <is>
          <t>c_CCAddPeriod.aspx</t>
        </is>
      </c>
      <c r="D1349" t="inlineStr">
        <is>
          <t>RetailBanking/c_CCAddPeriod.aspx</t>
        </is>
      </c>
      <c r="E1349" t="inlineStr">
        <is>
          <t>Medium</t>
        </is>
      </c>
      <c r="F1349" s="25">
        <f>VLOOKUP(E1349,Assumptions!$A$5:$B$8,2,0)</f>
        <v/>
      </c>
    </row>
    <row r="1350">
      <c r="A1350" t="inlineStr">
        <is>
          <t>RetailBanking</t>
        </is>
      </c>
      <c r="B1350" t="inlineStr"/>
      <c r="C1350" t="inlineStr">
        <is>
          <t>c_CaratMaster.aspx</t>
        </is>
      </c>
      <c r="D1350" t="inlineStr">
        <is>
          <t>RetailBanking/c_CaratMaster.aspx</t>
        </is>
      </c>
      <c r="E1350" t="inlineStr">
        <is>
          <t>Medium</t>
        </is>
      </c>
      <c r="F1350" s="25">
        <f>VLOOKUP(E1350,Assumptions!$A$5:$B$8,2,0)</f>
        <v/>
      </c>
    </row>
    <row r="1351">
      <c r="A1351" t="inlineStr">
        <is>
          <t>RetailBanking</t>
        </is>
      </c>
      <c r="B1351" t="inlineStr"/>
      <c r="C1351" t="inlineStr">
        <is>
          <t>c_Community.aspx</t>
        </is>
      </c>
      <c r="D1351" t="inlineStr">
        <is>
          <t>RetailBanking/c_Community.aspx</t>
        </is>
      </c>
      <c r="E1351" t="inlineStr">
        <is>
          <t>Medium</t>
        </is>
      </c>
      <c r="F1351" s="25">
        <f>VLOOKUP(E1351,Assumptions!$A$5:$B$8,2,0)</f>
        <v/>
      </c>
    </row>
    <row r="1352">
      <c r="A1352" t="inlineStr">
        <is>
          <t>RetailBanking</t>
        </is>
      </c>
      <c r="B1352" t="inlineStr"/>
      <c r="C1352" t="inlineStr">
        <is>
          <t>c_DepLoanCatAddlIR.aspx</t>
        </is>
      </c>
      <c r="D1352" t="inlineStr">
        <is>
          <t>RetailBanking/c_DepLoanCatAddlIR.aspx</t>
        </is>
      </c>
      <c r="E1352" t="inlineStr">
        <is>
          <t>Medium</t>
        </is>
      </c>
      <c r="F1352" s="25">
        <f>VLOOKUP(E1352,Assumptions!$A$5:$B$8,2,0)</f>
        <v/>
      </c>
    </row>
    <row r="1353">
      <c r="A1353" t="inlineStr">
        <is>
          <t>RetailBanking</t>
        </is>
      </c>
      <c r="B1353" t="inlineStr"/>
      <c r="C1353" t="inlineStr">
        <is>
          <t>c_DepositAccDrLimit.aspx</t>
        </is>
      </c>
      <c r="D1353" t="inlineStr">
        <is>
          <t>RetailBanking/c_DepositAccDrLimit.aspx</t>
        </is>
      </c>
      <c r="E1353" t="inlineStr">
        <is>
          <t>Medium</t>
        </is>
      </c>
      <c r="F1353" s="25">
        <f>VLOOKUP(E1353,Assumptions!$A$5:$B$8,2,0)</f>
        <v/>
      </c>
    </row>
    <row r="1354">
      <c r="A1354" t="inlineStr">
        <is>
          <t>RetailBanking</t>
        </is>
      </c>
      <c r="B1354" t="inlineStr"/>
      <c r="C1354" t="inlineStr">
        <is>
          <t>c_LNEnhancement.aspx</t>
        </is>
      </c>
      <c r="D1354" t="inlineStr">
        <is>
          <t>RetailBanking/c_LNEnhancement.aspx</t>
        </is>
      </c>
      <c r="E1354" t="inlineStr">
        <is>
          <t>Medium</t>
        </is>
      </c>
      <c r="F1354" s="25">
        <f>VLOOKUP(E1354,Assumptions!$A$5:$B$8,2,0)</f>
        <v/>
      </c>
    </row>
    <row r="1355">
      <c r="A1355" t="inlineStr">
        <is>
          <t>RetailBanking</t>
        </is>
      </c>
      <c r="B1355" t="inlineStr"/>
      <c r="C1355" t="inlineStr">
        <is>
          <t>c_LNSchemeChange.aspx</t>
        </is>
      </c>
      <c r="D1355" t="inlineStr">
        <is>
          <t>RetailBanking/c_LNSchemeChange.aspx</t>
        </is>
      </c>
      <c r="E1355" t="inlineStr">
        <is>
          <t>Medium</t>
        </is>
      </c>
      <c r="F1355" s="25">
        <f>VLOOKUP(E1355,Assumptions!$A$5:$B$8,2,0)</f>
        <v/>
      </c>
    </row>
    <row r="1356">
      <c r="A1356" t="inlineStr">
        <is>
          <t>RetailBanking</t>
        </is>
      </c>
      <c r="B1356" t="inlineStr"/>
      <c r="C1356" t="inlineStr">
        <is>
          <t>c_LNSchemeChangeDet.aspx</t>
        </is>
      </c>
      <c r="D1356" t="inlineStr">
        <is>
          <t>RetailBanking/c_LNSchemeChangeDet.aspx</t>
        </is>
      </c>
      <c r="E1356" t="inlineStr">
        <is>
          <t>Medium</t>
        </is>
      </c>
      <c r="F1356" s="25">
        <f>VLOOKUP(E1356,Assumptions!$A$5:$B$8,2,0)</f>
        <v/>
      </c>
    </row>
    <row r="1357">
      <c r="A1357" t="inlineStr">
        <is>
          <t>RetailBanking</t>
        </is>
      </c>
      <c r="B1357" t="inlineStr"/>
      <c r="C1357" t="inlineStr">
        <is>
          <t>c_LoanDisbursement.aspx</t>
        </is>
      </c>
      <c r="D1357" t="inlineStr">
        <is>
          <t>RetailBanking/c_LoanDisbursement.aspx</t>
        </is>
      </c>
      <c r="E1357" t="inlineStr">
        <is>
          <t>Medium</t>
        </is>
      </c>
      <c r="F1357" s="25">
        <f>VLOOKUP(E1357,Assumptions!$A$5:$B$8,2,0)</f>
        <v/>
      </c>
    </row>
    <row r="1358">
      <c r="A1358" t="inlineStr">
        <is>
          <t>RetailBanking</t>
        </is>
      </c>
      <c r="B1358" t="inlineStr"/>
      <c r="C1358" t="inlineStr">
        <is>
          <t>c_LoanScheme.aspx</t>
        </is>
      </c>
      <c r="D1358" t="inlineStr">
        <is>
          <t>RetailBanking/c_LoanScheme.aspx</t>
        </is>
      </c>
      <c r="E1358" t="inlineStr">
        <is>
          <t>Medium</t>
        </is>
      </c>
      <c r="F1358" s="25">
        <f>VLOOKUP(E1358,Assumptions!$A$5:$B$8,2,0)</f>
        <v/>
      </c>
    </row>
    <row r="1359">
      <c r="A1359" t="inlineStr">
        <is>
          <t>RetailBanking</t>
        </is>
      </c>
      <c r="B1359" t="inlineStr"/>
      <c r="C1359" t="inlineStr">
        <is>
          <t>c_ODLimitDeduction.aspx</t>
        </is>
      </c>
      <c r="D1359" t="inlineStr">
        <is>
          <t>RetailBanking/c_ODLimitDeduction.aspx</t>
        </is>
      </c>
      <c r="E1359" t="inlineStr">
        <is>
          <t>Medium</t>
        </is>
      </c>
      <c r="F1359" s="25">
        <f>VLOOKUP(E1359,Assumptions!$A$5:$B$8,2,0)</f>
        <v/>
      </c>
    </row>
    <row r="1360">
      <c r="A1360" t="inlineStr">
        <is>
          <t>RetailBanking</t>
        </is>
      </c>
      <c r="B1360" t="inlineStr"/>
      <c r="C1360" t="inlineStr">
        <is>
          <t>c_OrnamentMaster.aspx</t>
        </is>
      </c>
      <c r="D1360" t="inlineStr">
        <is>
          <t>RetailBanking/c_OrnamentMaster.aspx</t>
        </is>
      </c>
      <c r="E1360" t="inlineStr">
        <is>
          <t>Medium</t>
        </is>
      </c>
      <c r="F1360" s="25">
        <f>VLOOKUP(E1360,Assumptions!$A$5:$B$8,2,0)</f>
        <v/>
      </c>
    </row>
    <row r="1361">
      <c r="A1361" t="inlineStr">
        <is>
          <t>RetailBanking</t>
        </is>
      </c>
      <c r="B1361" t="inlineStr"/>
      <c r="C1361" t="inlineStr">
        <is>
          <t>c_OtherReceivable.aspx</t>
        </is>
      </c>
      <c r="D1361" t="inlineStr">
        <is>
          <t>RetailBanking/c_OtherReceivable.aspx</t>
        </is>
      </c>
      <c r="E1361" t="inlineStr">
        <is>
          <t>Medium</t>
        </is>
      </c>
      <c r="F1361" s="25">
        <f>VLOOKUP(E1361,Assumptions!$A$5:$B$8,2,0)</f>
        <v/>
      </c>
    </row>
    <row r="1362">
      <c r="A1362" t="inlineStr">
        <is>
          <t>RetailBanking</t>
        </is>
      </c>
      <c r="B1362" t="inlineStr"/>
      <c r="C1362" t="inlineStr">
        <is>
          <t>c_PACSHeadMapping.aspx</t>
        </is>
      </c>
      <c r="D1362" t="inlineStr">
        <is>
          <t>RetailBanking/c_PACSHeadMapping.aspx</t>
        </is>
      </c>
      <c r="E1362" t="inlineStr">
        <is>
          <t>Medium</t>
        </is>
      </c>
      <c r="F1362" s="25">
        <f>VLOOKUP(E1362,Assumptions!$A$5:$B$8,2,0)</f>
        <v/>
      </c>
    </row>
    <row r="1363">
      <c r="A1363" t="inlineStr">
        <is>
          <t>RetailBanking</t>
        </is>
      </c>
      <c r="B1363" t="inlineStr"/>
      <c r="C1363" t="inlineStr">
        <is>
          <t>c_Priority.aspx</t>
        </is>
      </c>
      <c r="D1363" t="inlineStr">
        <is>
          <t>RetailBanking/c_Priority.aspx</t>
        </is>
      </c>
      <c r="E1363" t="inlineStr">
        <is>
          <t>Medium</t>
        </is>
      </c>
      <c r="F1363" s="25">
        <f>VLOOKUP(E1363,Assumptions!$A$5:$B$8,2,0)</f>
        <v/>
      </c>
    </row>
    <row r="1364">
      <c r="A1364" t="inlineStr">
        <is>
          <t>RetailBanking</t>
        </is>
      </c>
      <c r="B1364" t="inlineStr"/>
      <c r="C1364" t="inlineStr">
        <is>
          <t>c_ReducingCCLimit.aspx</t>
        </is>
      </c>
      <c r="D1364" t="inlineStr">
        <is>
          <t>RetailBanking/c_ReducingCCLimit.aspx</t>
        </is>
      </c>
      <c r="E1364" t="inlineStr">
        <is>
          <t>Medium</t>
        </is>
      </c>
      <c r="F1364" s="25">
        <f>VLOOKUP(E1364,Assumptions!$A$5:$B$8,2,0)</f>
        <v/>
      </c>
    </row>
    <row r="1365">
      <c r="A1365" t="inlineStr">
        <is>
          <t>RetailBanking</t>
        </is>
      </c>
      <c r="B1365" t="inlineStr"/>
      <c r="C1365" t="inlineStr">
        <is>
          <t>c_StockApplCOA.aspx</t>
        </is>
      </c>
      <c r="D1365" t="inlineStr">
        <is>
          <t>RetailBanking/c_StockApplCOA.aspx</t>
        </is>
      </c>
      <c r="E1365" t="inlineStr">
        <is>
          <t>Medium</t>
        </is>
      </c>
      <c r="F1365" s="25">
        <f>VLOOKUP(E1365,Assumptions!$A$5:$B$8,2,0)</f>
        <v/>
      </c>
    </row>
    <row r="1366">
      <c r="A1366" t="inlineStr">
        <is>
          <t>RetailBanking</t>
        </is>
      </c>
      <c r="B1366" t="inlineStr"/>
      <c r="C1366" t="inlineStr">
        <is>
          <t>c_ValuatorMaster.aspx</t>
        </is>
      </c>
      <c r="D1366" t="inlineStr">
        <is>
          <t>RetailBanking/c_ValuatorMaster.aspx</t>
        </is>
      </c>
      <c r="E1366" t="inlineStr">
        <is>
          <t>Medium</t>
        </is>
      </c>
      <c r="F1366" s="25">
        <f>VLOOKUP(E1366,Assumptions!$A$5:$B$8,2,0)</f>
        <v/>
      </c>
    </row>
    <row r="1367">
      <c r="A1367" t="inlineStr">
        <is>
          <t>RetailBanking</t>
        </is>
      </c>
      <c r="B1367" t="inlineStr"/>
      <c r="C1367" t="inlineStr">
        <is>
          <t>c_WeakerSection.aspx</t>
        </is>
      </c>
      <c r="D1367" t="inlineStr">
        <is>
          <t>RetailBanking/c_WeakerSection.aspx</t>
        </is>
      </c>
      <c r="E1367" t="inlineStr">
        <is>
          <t>Medium</t>
        </is>
      </c>
      <c r="F1367" s="25">
        <f>VLOOKUP(E1367,Assumptions!$A$5:$B$8,2,0)</f>
        <v/>
      </c>
    </row>
    <row r="1368">
      <c r="A1368" t="inlineStr">
        <is>
          <t>RetailBanking</t>
        </is>
      </c>
      <c r="B1368" t="inlineStr"/>
      <c r="C1368" t="inlineStr">
        <is>
          <t>c_WriteOffStlHeadMap.aspx</t>
        </is>
      </c>
      <c r="D1368" t="inlineStr">
        <is>
          <t>RetailBanking/c_WriteOffStlHeadMap.aspx</t>
        </is>
      </c>
      <c r="E1368" t="inlineStr">
        <is>
          <t>Medium</t>
        </is>
      </c>
      <c r="F1368" s="25">
        <f>VLOOKUP(E1368,Assumptions!$A$5:$B$8,2,0)</f>
        <v/>
      </c>
    </row>
    <row r="1369">
      <c r="A1369" t="inlineStr">
        <is>
          <t>RetailBanking</t>
        </is>
      </c>
      <c r="B1369" t="inlineStr"/>
      <c r="C1369" t="inlineStr">
        <is>
          <t>d_fdRtgsProcess.aspx</t>
        </is>
      </c>
      <c r="D1369" t="inlineStr">
        <is>
          <t>RetailBanking/d_fdRtgsProcess.aspx</t>
        </is>
      </c>
      <c r="E1369" t="inlineStr">
        <is>
          <t>Medium</t>
        </is>
      </c>
      <c r="F1369" s="25">
        <f>VLOOKUP(E1369,Assumptions!$A$5:$B$8,2,0)</f>
        <v/>
      </c>
    </row>
    <row r="1370">
      <c r="A1370" t="inlineStr">
        <is>
          <t>RetailBanking</t>
        </is>
      </c>
      <c r="B1370" t="inlineStr">
        <is>
          <t>dd</t>
        </is>
      </c>
      <c r="C1370" t="inlineStr">
        <is>
          <t>DDListExport.aspx</t>
        </is>
      </c>
      <c r="D1370" t="inlineStr">
        <is>
          <t>RetailBanking/dd/DDListExport.aspx</t>
        </is>
      </c>
      <c r="E1370" t="inlineStr">
        <is>
          <t>Medium</t>
        </is>
      </c>
      <c r="F1370" s="25">
        <f>VLOOKUP(E1370,Assumptions!$A$5:$B$8,2,0)</f>
        <v/>
      </c>
    </row>
    <row r="1371">
      <c r="A1371" t="inlineStr">
        <is>
          <t>RetailBanking</t>
        </is>
      </c>
      <c r="B1371" t="inlineStr">
        <is>
          <t>dd</t>
        </is>
      </c>
      <c r="C1371" t="inlineStr">
        <is>
          <t>DDPO_Mapping.aspx</t>
        </is>
      </c>
      <c r="D1371" t="inlineStr">
        <is>
          <t>RetailBanking/dd/DDPO_Mapping.aspx</t>
        </is>
      </c>
      <c r="E1371" t="inlineStr">
        <is>
          <t>Medium</t>
        </is>
      </c>
      <c r="F1371" s="25">
        <f>VLOOKUP(E1371,Assumptions!$A$5:$B$8,2,0)</f>
        <v/>
      </c>
    </row>
    <row r="1372">
      <c r="A1372" t="inlineStr">
        <is>
          <t>RetailBanking</t>
        </is>
      </c>
      <c r="B1372" t="inlineStr">
        <is>
          <t>dd</t>
        </is>
      </c>
      <c r="C1372" t="inlineStr">
        <is>
          <t>DemandDraftPayOrderSeries.aspx</t>
        </is>
      </c>
      <c r="D1372" t="inlineStr">
        <is>
          <t>RetailBanking/dd/DemandDraftPayOrderSeries.aspx</t>
        </is>
      </c>
      <c r="E1372" t="inlineStr">
        <is>
          <t>Medium</t>
        </is>
      </c>
      <c r="F1372" s="25">
        <f>VLOOKUP(E1372,Assumptions!$A$5:$B$8,2,0)</f>
        <v/>
      </c>
    </row>
    <row r="1373">
      <c r="A1373" t="inlineStr">
        <is>
          <t>RetailBanking</t>
        </is>
      </c>
      <c r="B1373" t="inlineStr">
        <is>
          <t>dd</t>
        </is>
      </c>
      <c r="C1373" t="inlineStr">
        <is>
          <t>PODDStaleDateUpdate.aspx</t>
        </is>
      </c>
      <c r="D1373" t="inlineStr">
        <is>
          <t>RetailBanking/dd/PODDStaleDateUpdate.aspx</t>
        </is>
      </c>
      <c r="E1373" t="inlineStr">
        <is>
          <t>Medium</t>
        </is>
      </c>
      <c r="F1373" s="25">
        <f>VLOOKUP(E1373,Assumptions!$A$5:$B$8,2,0)</f>
        <v/>
      </c>
    </row>
    <row r="1374">
      <c r="A1374" t="inlineStr">
        <is>
          <t>RetailBanking</t>
        </is>
      </c>
      <c r="B1374" t="inlineStr">
        <is>
          <t>dd</t>
        </is>
      </c>
      <c r="C1374" t="inlineStr">
        <is>
          <t>b_FDCertificateSeries.aspx</t>
        </is>
      </c>
      <c r="D1374" t="inlineStr">
        <is>
          <t>RetailBanking/dd/b_FDCertificateSeries.aspx</t>
        </is>
      </c>
      <c r="E1374" t="inlineStr">
        <is>
          <t>Medium</t>
        </is>
      </c>
      <c r="F1374" s="25">
        <f>VLOOKUP(E1374,Assumptions!$A$5:$B$8,2,0)</f>
        <v/>
      </c>
    </row>
    <row r="1375">
      <c r="A1375" t="inlineStr">
        <is>
          <t>RetailBanking</t>
        </is>
      </c>
      <c r="B1375" t="inlineStr">
        <is>
          <t>dd</t>
        </is>
      </c>
      <c r="C1375" t="inlineStr">
        <is>
          <t>dd.aspx</t>
        </is>
      </c>
      <c r="D1375" t="inlineStr">
        <is>
          <t>RetailBanking/dd/dd.aspx</t>
        </is>
      </c>
      <c r="E1375" t="inlineStr">
        <is>
          <t>Medium</t>
        </is>
      </c>
      <c r="F1375" s="25">
        <f>VLOOKUP(E1375,Assumptions!$A$5:$B$8,2,0)</f>
        <v/>
      </c>
    </row>
    <row r="1376">
      <c r="A1376" t="inlineStr">
        <is>
          <t>RetailBanking</t>
        </is>
      </c>
      <c r="B1376" t="inlineStr">
        <is>
          <t>dd</t>
        </is>
      </c>
      <c r="C1376" t="inlineStr">
        <is>
          <t>x_DDCancel.aspx</t>
        </is>
      </c>
      <c r="D1376" t="inlineStr">
        <is>
          <t>RetailBanking/dd/x_DDCancel.aspx</t>
        </is>
      </c>
      <c r="E1376" t="inlineStr">
        <is>
          <t>Medium</t>
        </is>
      </c>
      <c r="F1376" s="25">
        <f>VLOOKUP(E1376,Assumptions!$A$5:$B$8,2,0)</f>
        <v/>
      </c>
    </row>
    <row r="1377">
      <c r="A1377" t="inlineStr">
        <is>
          <t>RetailBanking</t>
        </is>
      </c>
      <c r="B1377" t="inlineStr">
        <is>
          <t>dormant</t>
        </is>
      </c>
      <c r="C1377" t="inlineStr">
        <is>
          <t>DormantReActivation.aspx</t>
        </is>
      </c>
      <c r="D1377" t="inlineStr">
        <is>
          <t>RetailBanking/dormant/DormantReActivation.aspx</t>
        </is>
      </c>
      <c r="E1377" t="inlineStr">
        <is>
          <t>Medium</t>
        </is>
      </c>
      <c r="F1377" s="25">
        <f>VLOOKUP(E1377,Assumptions!$A$5:$B$8,2,0)</f>
        <v/>
      </c>
    </row>
    <row r="1378">
      <c r="A1378" t="inlineStr">
        <is>
          <t>RetailBanking</t>
        </is>
      </c>
      <c r="B1378" t="inlineStr">
        <is>
          <t>dormant</t>
        </is>
      </c>
      <c r="C1378" t="inlineStr">
        <is>
          <t>b_DormantHistory.aspx</t>
        </is>
      </c>
      <c r="D1378" t="inlineStr">
        <is>
          <t>RetailBanking/dormant/b_DormantHistory.aspx</t>
        </is>
      </c>
      <c r="E1378" t="inlineStr">
        <is>
          <t>Medium</t>
        </is>
      </c>
      <c r="F1378" s="25">
        <f>VLOOKUP(E1378,Assumptions!$A$5:$B$8,2,0)</f>
        <v/>
      </c>
    </row>
    <row r="1379">
      <c r="A1379" t="inlineStr">
        <is>
          <t>RetailBanking</t>
        </is>
      </c>
      <c r="B1379" t="inlineStr"/>
      <c r="C1379" t="inlineStr">
        <is>
          <t>fi.aspx</t>
        </is>
      </c>
      <c r="D1379" t="inlineStr">
        <is>
          <t>RetailBanking/fi.aspx</t>
        </is>
      </c>
      <c r="E1379" t="inlineStr">
        <is>
          <t>Medium</t>
        </is>
      </c>
      <c r="F1379" s="25">
        <f>VLOOKUP(E1379,Assumptions!$A$5:$B$8,2,0)</f>
        <v/>
      </c>
    </row>
    <row r="1380">
      <c r="A1380" t="inlineStr">
        <is>
          <t>RetailBanking</t>
        </is>
      </c>
      <c r="B1380" t="inlineStr"/>
      <c r="C1380" t="inlineStr">
        <is>
          <t>g_AllowDebitTransactionAccountHeads.aspx</t>
        </is>
      </c>
      <c r="D1380" t="inlineStr">
        <is>
          <t>RetailBanking/g_AllowDebitTransactionAccountHeads.aspx</t>
        </is>
      </c>
      <c r="E1380" t="inlineStr">
        <is>
          <t>Complex</t>
        </is>
      </c>
      <c r="F1380" s="25">
        <f>VLOOKUP(E1380,Assumptions!$A$5:$B$8,2,0)</f>
        <v/>
      </c>
    </row>
    <row r="1381">
      <c r="A1381" t="inlineStr">
        <is>
          <t>RetailBanking</t>
        </is>
      </c>
      <c r="B1381" t="inlineStr"/>
      <c r="C1381" t="inlineStr">
        <is>
          <t>g_ClientDocRcvdStatus.aspx</t>
        </is>
      </c>
      <c r="D1381" t="inlineStr">
        <is>
          <t>RetailBanking/g_ClientDocRcvdStatus.aspx</t>
        </is>
      </c>
      <c r="E1381" t="inlineStr">
        <is>
          <t>Medium</t>
        </is>
      </c>
      <c r="F1381" s="25">
        <f>VLOOKUP(E1381,Assumptions!$A$5:$B$8,2,0)</f>
        <v/>
      </c>
    </row>
    <row r="1382">
      <c r="A1382" t="inlineStr">
        <is>
          <t>RetailBanking</t>
        </is>
      </c>
      <c r="B1382" t="inlineStr"/>
      <c r="C1382" t="inlineStr">
        <is>
          <t>g_CustomerDetailView.aspx</t>
        </is>
      </c>
      <c r="D1382" t="inlineStr">
        <is>
          <t>RetailBanking/g_CustomerDetailView.aspx</t>
        </is>
      </c>
      <c r="E1382" t="inlineStr">
        <is>
          <t>Medium</t>
        </is>
      </c>
      <c r="F1382" s="25">
        <f>VLOOKUP(E1382,Assumptions!$A$5:$B$8,2,0)</f>
        <v/>
      </c>
    </row>
    <row r="1383">
      <c r="A1383" t="inlineStr">
        <is>
          <t>RetailBanking</t>
        </is>
      </c>
      <c r="B1383" t="inlineStr"/>
      <c r="C1383" t="inlineStr">
        <is>
          <t>g_CustomerDetailView_v1.aspx</t>
        </is>
      </c>
      <c r="D1383" t="inlineStr">
        <is>
          <t>RetailBanking/g_CustomerDetailView_v1.aspx</t>
        </is>
      </c>
      <c r="E1383" t="inlineStr">
        <is>
          <t>Medium</t>
        </is>
      </c>
      <c r="F1383" s="25">
        <f>VLOOKUP(E1383,Assumptions!$A$5:$B$8,2,0)</f>
        <v/>
      </c>
    </row>
    <row r="1384">
      <c r="A1384" t="inlineStr">
        <is>
          <t>RetailBanking</t>
        </is>
      </c>
      <c r="B1384" t="inlineStr"/>
      <c r="C1384" t="inlineStr">
        <is>
          <t>g_FundDistributionAverage.aspx</t>
        </is>
      </c>
      <c r="D1384" t="inlineStr">
        <is>
          <t>RetailBanking/g_FundDistributionAverage.aspx</t>
        </is>
      </c>
      <c r="E1384" t="inlineStr">
        <is>
          <t>Medium</t>
        </is>
      </c>
      <c r="F1384" s="25">
        <f>VLOOKUP(E1384,Assumptions!$A$5:$B$8,2,0)</f>
        <v/>
      </c>
    </row>
    <row r="1385">
      <c r="A1385" t="inlineStr">
        <is>
          <t>RetailBanking</t>
        </is>
      </c>
      <c r="B1385" t="inlineStr"/>
      <c r="C1385" t="inlineStr">
        <is>
          <t>g_IfscDetailView.aspx</t>
        </is>
      </c>
      <c r="D1385" t="inlineStr">
        <is>
          <t>RetailBanking/g_IfscDetailView.aspx</t>
        </is>
      </c>
      <c r="E1385" t="inlineStr">
        <is>
          <t>Medium</t>
        </is>
      </c>
      <c r="F1385" s="25">
        <f>VLOOKUP(E1385,Assumptions!$A$5:$B$8,2,0)</f>
        <v/>
      </c>
    </row>
    <row r="1386">
      <c r="A1386" t="inlineStr">
        <is>
          <t>RetailBanking</t>
        </is>
      </c>
      <c r="B1386" t="inlineStr"/>
      <c r="C1386" t="inlineStr">
        <is>
          <t>k_LockerExpiryLetterTemplate.aspx</t>
        </is>
      </c>
      <c r="D1386" t="inlineStr">
        <is>
          <t>RetailBanking/k_LockerExpiryLetterTemplate.aspx</t>
        </is>
      </c>
      <c r="E1386" t="inlineStr">
        <is>
          <t>Medium</t>
        </is>
      </c>
      <c r="F1386" s="25">
        <f>VLOOKUP(E1386,Assumptions!$A$5:$B$8,2,0)</f>
        <v/>
      </c>
    </row>
    <row r="1387">
      <c r="A1387" t="inlineStr">
        <is>
          <t>RetailBanking</t>
        </is>
      </c>
      <c r="B1387" t="inlineStr"/>
      <c r="C1387" t="inlineStr">
        <is>
          <t>loanRepayment.aspx</t>
        </is>
      </c>
      <c r="D1387" t="inlineStr">
        <is>
          <t>RetailBanking/loanRepayment.aspx</t>
        </is>
      </c>
      <c r="E1387" t="inlineStr">
        <is>
          <t>Medium</t>
        </is>
      </c>
      <c r="F1387" s="25">
        <f>VLOOKUP(E1387,Assumptions!$A$5:$B$8,2,0)</f>
        <v/>
      </c>
    </row>
    <row r="1388">
      <c r="A1388" t="inlineStr">
        <is>
          <t>RetailBanking</t>
        </is>
      </c>
      <c r="B1388" t="inlineStr"/>
      <c r="C1388" t="inlineStr">
        <is>
          <t>mBankUPIColQRPrint.aspx</t>
        </is>
      </c>
      <c r="D1388" t="inlineStr">
        <is>
          <t>RetailBanking/mBankUPIColQRPrint.aspx</t>
        </is>
      </c>
      <c r="E1388" t="inlineStr">
        <is>
          <t>Medium</t>
        </is>
      </c>
      <c r="F1388" s="25">
        <f>VLOOKUP(E1388,Assumptions!$A$5:$B$8,2,0)</f>
        <v/>
      </c>
    </row>
    <row r="1389">
      <c r="A1389" t="inlineStr">
        <is>
          <t>RetailBanking</t>
        </is>
      </c>
      <c r="B1389" t="inlineStr"/>
      <c r="C1389" t="inlineStr">
        <is>
          <t>mBank_LimitConfig.aspx</t>
        </is>
      </c>
      <c r="D1389" t="inlineStr">
        <is>
          <t>RetailBanking/mBank_LimitConfig.aspx</t>
        </is>
      </c>
      <c r="E1389" t="inlineStr">
        <is>
          <t>Medium</t>
        </is>
      </c>
      <c r="F1389" s="25">
        <f>VLOOKUP(E1389,Assumptions!$A$5:$B$8,2,0)</f>
        <v/>
      </c>
    </row>
    <row r="1390">
      <c r="A1390" t="inlineStr">
        <is>
          <t>RetailBanking</t>
        </is>
      </c>
      <c r="B1390" t="inlineStr"/>
      <c r="C1390" t="inlineStr">
        <is>
          <t>maturedButNotPaid.aspx</t>
        </is>
      </c>
      <c r="D1390" t="inlineStr">
        <is>
          <t>RetailBanking/maturedButNotPaid.aspx</t>
        </is>
      </c>
      <c r="E1390" t="inlineStr">
        <is>
          <t>Medium</t>
        </is>
      </c>
      <c r="F1390" s="25">
        <f>VLOOKUP(E1390,Assumptions!$A$5:$B$8,2,0)</f>
        <v/>
      </c>
    </row>
    <row r="1391">
      <c r="A1391" t="inlineStr">
        <is>
          <t>RetailBanking</t>
        </is>
      </c>
      <c r="B1391" t="inlineStr"/>
      <c r="C1391" t="inlineStr">
        <is>
          <t>mbankUPICollManual.aspx</t>
        </is>
      </c>
      <c r="D1391" t="inlineStr">
        <is>
          <t>RetailBanking/mbankUPICollManual.aspx</t>
        </is>
      </c>
      <c r="E1391" t="inlineStr">
        <is>
          <t>Medium</t>
        </is>
      </c>
      <c r="F1391" s="25">
        <f>VLOOKUP(E1391,Assumptions!$A$5:$B$8,2,0)</f>
        <v/>
      </c>
    </row>
    <row r="1392">
      <c r="A1392" t="inlineStr">
        <is>
          <t>RetailBanking</t>
        </is>
      </c>
      <c r="B1392" t="inlineStr"/>
      <c r="C1392" t="inlineStr">
        <is>
          <t>mbank_upicoll_qr_sound_Terminal.aspx</t>
        </is>
      </c>
      <c r="D1392" t="inlineStr">
        <is>
          <t>RetailBanking/mbank_upicoll_qr_sound_Terminal.aspx</t>
        </is>
      </c>
      <c r="E1392" t="inlineStr">
        <is>
          <t>Medium</t>
        </is>
      </c>
      <c r="F1392" s="25">
        <f>VLOOKUP(E1392,Assumptions!$A$5:$B$8,2,0)</f>
        <v/>
      </c>
    </row>
    <row r="1393">
      <c r="A1393" t="inlineStr">
        <is>
          <t>RetailBanking</t>
        </is>
      </c>
      <c r="B1393" t="inlineStr"/>
      <c r="C1393" t="inlineStr">
        <is>
          <t>openingBalance.aspx</t>
        </is>
      </c>
      <c r="D1393" t="inlineStr">
        <is>
          <t>RetailBanking/openingBalance.aspx</t>
        </is>
      </c>
      <c r="E1393" t="inlineStr">
        <is>
          <t>Medium</t>
        </is>
      </c>
      <c r="F1393" s="25">
        <f>VLOOKUP(E1393,Assumptions!$A$5:$B$8,2,0)</f>
        <v/>
      </c>
    </row>
    <row r="1394">
      <c r="A1394" t="inlineStr">
        <is>
          <t>RetailBanking</t>
        </is>
      </c>
      <c r="B1394" t="inlineStr">
        <is>
          <t>pmby</t>
        </is>
      </c>
      <c r="C1394" t="inlineStr">
        <is>
          <t>APY_DeathClaim.aspx</t>
        </is>
      </c>
      <c r="D1394" t="inlineStr">
        <is>
          <t>RetailBanking/pmby/APY_DeathClaim.aspx</t>
        </is>
      </c>
      <c r="E1394" t="inlineStr">
        <is>
          <t>Medium</t>
        </is>
      </c>
      <c r="F1394" s="25">
        <f>VLOOKUP(E1394,Assumptions!$A$5:$B$8,2,0)</f>
        <v/>
      </c>
    </row>
    <row r="1395">
      <c r="A1395" t="inlineStr">
        <is>
          <t>RetailBanking</t>
        </is>
      </c>
      <c r="B1395" t="inlineStr">
        <is>
          <t>pmby</t>
        </is>
      </c>
      <c r="C1395" t="inlineStr">
        <is>
          <t>PMBYMemsettlementView.aspx</t>
        </is>
      </c>
      <c r="D1395" t="inlineStr">
        <is>
          <t>RetailBanking/pmby/PMBYMemsettlementView.aspx</t>
        </is>
      </c>
      <c r="E1395" t="inlineStr">
        <is>
          <t>Medium</t>
        </is>
      </c>
      <c r="F1395" s="25">
        <f>VLOOKUP(E1395,Assumptions!$A$5:$B$8,2,0)</f>
        <v/>
      </c>
    </row>
    <row r="1396">
      <c r="A1396" t="inlineStr">
        <is>
          <t>RetailBanking</t>
        </is>
      </c>
      <c r="B1396" t="inlineStr">
        <is>
          <t>pmby</t>
        </is>
      </c>
      <c r="C1396" t="inlineStr">
        <is>
          <t>Pmby_PolicyMaster.aspx</t>
        </is>
      </c>
      <c r="D1396" t="inlineStr">
        <is>
          <t>RetailBanking/pmby/Pmby_PolicyMaster.aspx</t>
        </is>
      </c>
      <c r="E1396" t="inlineStr">
        <is>
          <t>Medium</t>
        </is>
      </c>
      <c r="F1396" s="25">
        <f>VLOOKUP(E1396,Assumptions!$A$5:$B$8,2,0)</f>
        <v/>
      </c>
    </row>
    <row r="1397">
      <c r="A1397" t="inlineStr">
        <is>
          <t>RetailBanking</t>
        </is>
      </c>
      <c r="B1397" t="inlineStr">
        <is>
          <t>pmby</t>
        </is>
      </c>
      <c r="C1397" t="inlineStr">
        <is>
          <t>SocialSchemeDetails.aspx</t>
        </is>
      </c>
      <c r="D1397" t="inlineStr">
        <is>
          <t>RetailBanking/pmby/SocialSchemeDetails.aspx</t>
        </is>
      </c>
      <c r="E1397" t="inlineStr">
        <is>
          <t>Medium</t>
        </is>
      </c>
      <c r="F1397" s="25">
        <f>VLOOKUP(E1397,Assumptions!$A$5:$B$8,2,0)</f>
        <v/>
      </c>
    </row>
    <row r="1398">
      <c r="A1398" t="inlineStr">
        <is>
          <t>RetailBanking</t>
        </is>
      </c>
      <c r="B1398" t="inlineStr">
        <is>
          <t>pmby</t>
        </is>
      </c>
      <c r="C1398" t="inlineStr">
        <is>
          <t>apy.aspx</t>
        </is>
      </c>
      <c r="D1398" t="inlineStr">
        <is>
          <t>RetailBanking/pmby/apy.aspx</t>
        </is>
      </c>
      <c r="E1398" t="inlineStr">
        <is>
          <t>Medium</t>
        </is>
      </c>
      <c r="F1398" s="25">
        <f>VLOOKUP(E1398,Assumptions!$A$5:$B$8,2,0)</f>
        <v/>
      </c>
    </row>
    <row r="1399">
      <c r="A1399" t="inlineStr">
        <is>
          <t>RetailBanking</t>
        </is>
      </c>
      <c r="B1399" t="inlineStr">
        <is>
          <t>pmby</t>
        </is>
      </c>
      <c r="C1399" t="inlineStr">
        <is>
          <t>pmby.aspx</t>
        </is>
      </c>
      <c r="D1399" t="inlineStr">
        <is>
          <t>RetailBanking/pmby/pmby.aspx</t>
        </is>
      </c>
      <c r="E1399" t="inlineStr">
        <is>
          <t>Medium</t>
        </is>
      </c>
      <c r="F1399" s="25">
        <f>VLOOKUP(E1399,Assumptions!$A$5:$B$8,2,0)</f>
        <v/>
      </c>
    </row>
    <row r="1400">
      <c r="A1400" t="inlineStr">
        <is>
          <t>RetailBanking</t>
        </is>
      </c>
      <c r="B1400" t="inlineStr"/>
      <c r="C1400" t="inlineStr">
        <is>
          <t>rescheduleLoanRepayment.aspx</t>
        </is>
      </c>
      <c r="D1400" t="inlineStr">
        <is>
          <t>RetailBanking/rescheduleLoanRepayment.aspx</t>
        </is>
      </c>
      <c r="E1400" t="inlineStr">
        <is>
          <t>Medium</t>
        </is>
      </c>
      <c r="F1400" s="25">
        <f>VLOOKUP(E1400,Assumptions!$A$5:$B$8,2,0)</f>
        <v/>
      </c>
    </row>
    <row r="1401">
      <c r="A1401" t="inlineStr">
        <is>
          <t>RetailBanking</t>
        </is>
      </c>
      <c r="B1401" t="inlineStr"/>
      <c r="C1401" t="inlineStr">
        <is>
          <t>unPassedTransaction.aspx</t>
        </is>
      </c>
      <c r="D1401" t="inlineStr">
        <is>
          <t>RetailBanking/unPassedTransaction.aspx</t>
        </is>
      </c>
      <c r="E1401" t="inlineStr">
        <is>
          <t>Complex</t>
        </is>
      </c>
      <c r="F1401" s="25">
        <f>VLOOKUP(E1401,Assumptions!$A$5:$B$8,2,0)</f>
        <v/>
      </c>
    </row>
    <row r="1402">
      <c r="A1402" t="inlineStr">
        <is>
          <t>RetailBanking</t>
        </is>
      </c>
      <c r="B1402" t="inlineStr">
        <is>
          <t>user_worksheet</t>
        </is>
      </c>
      <c r="C1402" t="inlineStr">
        <is>
          <t>User_target_achivement.aspx</t>
        </is>
      </c>
      <c r="D1402" t="inlineStr">
        <is>
          <t>RetailBanking/user_worksheet/User_target_achivement.aspx</t>
        </is>
      </c>
      <c r="E1402" t="inlineStr">
        <is>
          <t>Medium</t>
        </is>
      </c>
      <c r="F1402" s="25">
        <f>VLOOKUP(E1402,Assumptions!$A$5:$B$8,2,0)</f>
        <v/>
      </c>
    </row>
    <row r="1403">
      <c r="A1403" t="inlineStr">
        <is>
          <t>RetailBanking</t>
        </is>
      </c>
      <c r="B1403" t="inlineStr">
        <is>
          <t>user_worksheet</t>
        </is>
      </c>
      <c r="C1403" t="inlineStr">
        <is>
          <t>user_monthly_target.aspx</t>
        </is>
      </c>
      <c r="D1403" t="inlineStr">
        <is>
          <t>RetailBanking/user_worksheet/user_monthly_target.aspx</t>
        </is>
      </c>
      <c r="E1403" t="inlineStr">
        <is>
          <t>Medium</t>
        </is>
      </c>
      <c r="F1403" s="25">
        <f>VLOOKUP(E1403,Assumptions!$A$5:$B$8,2,0)</f>
        <v/>
      </c>
    </row>
    <row r="1404">
      <c r="A1404" t="inlineStr">
        <is>
          <t>RetailBanking</t>
        </is>
      </c>
      <c r="B1404" t="inlineStr"/>
      <c r="C1404" t="inlineStr">
        <is>
          <t>x_BatchTransactionLog.aspx</t>
        </is>
      </c>
      <c r="D1404" t="inlineStr">
        <is>
          <t>RetailBanking/x_BatchTransactionLog.aspx</t>
        </is>
      </c>
      <c r="E1404" t="inlineStr">
        <is>
          <t>Complex</t>
        </is>
      </c>
      <c r="F1404" s="25">
        <f>VLOOKUP(E1404,Assumptions!$A$5:$B$8,2,0)</f>
        <v/>
      </c>
    </row>
    <row r="1405">
      <c r="A1405" t="inlineStr">
        <is>
          <t>RetailBanking</t>
        </is>
      </c>
      <c r="B1405" t="inlineStr"/>
      <c r="C1405" t="inlineStr">
        <is>
          <t>x_ChargesReversal.aspx</t>
        </is>
      </c>
      <c r="D1405" t="inlineStr">
        <is>
          <t>RetailBanking/x_ChargesReversal.aspx</t>
        </is>
      </c>
      <c r="E1405" t="inlineStr">
        <is>
          <t>Medium</t>
        </is>
      </c>
      <c r="F1405" s="25">
        <f>VLOOKUP(E1405,Assumptions!$A$5:$B$8,2,0)</f>
        <v/>
      </c>
    </row>
    <row r="1406">
      <c r="A1406" t="inlineStr">
        <is>
          <t>RetailBanking</t>
        </is>
      </c>
      <c r="B1406" t="inlineStr"/>
      <c r="C1406" t="inlineStr">
        <is>
          <t>x_ChequeBook.aspx</t>
        </is>
      </c>
      <c r="D1406" t="inlineStr">
        <is>
          <t>RetailBanking/x_ChequeBook.aspx</t>
        </is>
      </c>
      <c r="E1406" t="inlineStr">
        <is>
          <t>Medium</t>
        </is>
      </c>
      <c r="F1406" s="25">
        <f>VLOOKUP(E1406,Assumptions!$A$5:$B$8,2,0)</f>
        <v/>
      </c>
    </row>
    <row r="1407">
      <c r="A1407" t="inlineStr">
        <is>
          <t>RetailBanking</t>
        </is>
      </c>
      <c r="B1407" t="inlineStr"/>
      <c r="C1407" t="inlineStr">
        <is>
          <t>x_ChequeBookAutoImport.aspx</t>
        </is>
      </c>
      <c r="D1407" t="inlineStr">
        <is>
          <t>RetailBanking/x_ChequeBookAutoImport.aspx</t>
        </is>
      </c>
      <c r="E1407" t="inlineStr">
        <is>
          <t>Medium</t>
        </is>
      </c>
      <c r="F1407" s="25">
        <f>VLOOKUP(E1407,Assumptions!$A$5:$B$8,2,0)</f>
        <v/>
      </c>
    </row>
    <row r="1408">
      <c r="A1408" t="inlineStr">
        <is>
          <t>RetailBanking</t>
        </is>
      </c>
      <c r="B1408" t="inlineStr"/>
      <c r="C1408" t="inlineStr">
        <is>
          <t>x_ChequeReturnReason.aspx</t>
        </is>
      </c>
      <c r="D1408" t="inlineStr">
        <is>
          <t>RetailBanking/x_ChequeReturnReason.aspx</t>
        </is>
      </c>
      <c r="E1408" t="inlineStr">
        <is>
          <t>Medium</t>
        </is>
      </c>
      <c r="F1408" s="25">
        <f>VLOOKUP(E1408,Assumptions!$A$5:$B$8,2,0)</f>
        <v/>
      </c>
    </row>
    <row r="1409">
      <c r="A1409" t="inlineStr">
        <is>
          <t>RetailBanking</t>
        </is>
      </c>
      <c r="B1409" t="inlineStr"/>
      <c r="C1409" t="inlineStr">
        <is>
          <t>x_ChequeStatusRevert.aspx</t>
        </is>
      </c>
      <c r="D1409" t="inlineStr">
        <is>
          <t>RetailBanking/x_ChequeStatusRevert.aspx</t>
        </is>
      </c>
      <c r="E1409" t="inlineStr">
        <is>
          <t>Medium</t>
        </is>
      </c>
      <c r="F1409" s="25">
        <f>VLOOKUP(E1409,Assumptions!$A$5:$B$8,2,0)</f>
        <v/>
      </c>
    </row>
    <row r="1410">
      <c r="A1410" t="inlineStr">
        <is>
          <t>RetailBanking</t>
        </is>
      </c>
      <c r="B1410" t="inlineStr"/>
      <c r="C1410" t="inlineStr">
        <is>
          <t>x_ChequeStopPaymentDetails.aspx</t>
        </is>
      </c>
      <c r="D1410" t="inlineStr">
        <is>
          <t>RetailBanking/x_ChequeStopPaymentDetails.aspx</t>
        </is>
      </c>
      <c r="E1410" t="inlineStr">
        <is>
          <t>Medium</t>
        </is>
      </c>
      <c r="F1410" s="25">
        <f>VLOOKUP(E1410,Assumptions!$A$5:$B$8,2,0)</f>
        <v/>
      </c>
    </row>
    <row r="1411">
      <c r="A1411" t="inlineStr">
        <is>
          <t>RetailBanking</t>
        </is>
      </c>
      <c r="B1411" t="inlineStr"/>
      <c r="C1411" t="inlineStr">
        <is>
          <t>x_ClientKYCLetterTemplate.aspx</t>
        </is>
      </c>
      <c r="D1411" t="inlineStr">
        <is>
          <t>RetailBanking/x_ClientKYCLetterTemplate.aspx</t>
        </is>
      </c>
      <c r="E1411" t="inlineStr">
        <is>
          <t>Medium</t>
        </is>
      </c>
      <c r="F1411" s="25">
        <f>VLOOKUP(E1411,Assumptions!$A$5:$B$8,2,0)</f>
        <v/>
      </c>
    </row>
    <row r="1412">
      <c r="A1412" t="inlineStr">
        <is>
          <t>RetailBanking</t>
        </is>
      </c>
      <c r="B1412" t="inlineStr"/>
      <c r="C1412" t="inlineStr">
        <is>
          <t>x_CutOffLnCcOdRecovery.aspx</t>
        </is>
      </c>
      <c r="D1412" t="inlineStr">
        <is>
          <t>RetailBanking/x_CutOffLnCcOdRecovery.aspx</t>
        </is>
      </c>
      <c r="E1412" t="inlineStr">
        <is>
          <t>Medium</t>
        </is>
      </c>
      <c r="F1412" s="25">
        <f>VLOOKUP(E1412,Assumptions!$A$5:$B$8,2,0)</f>
        <v/>
      </c>
    </row>
    <row r="1413">
      <c r="A1413" t="inlineStr">
        <is>
          <t>RetailBanking</t>
        </is>
      </c>
      <c r="B1413" t="inlineStr"/>
      <c r="C1413" t="inlineStr">
        <is>
          <t>x_IROIRSettlement.aspx</t>
        </is>
      </c>
      <c r="D1413" t="inlineStr">
        <is>
          <t>RetailBanking/x_IROIRSettlement.aspx</t>
        </is>
      </c>
      <c r="E1413" t="inlineStr">
        <is>
          <t>Medium</t>
        </is>
      </c>
      <c r="F1413" s="25">
        <f>VLOOKUP(E1413,Assumptions!$A$5:$B$8,2,0)</f>
        <v/>
      </c>
    </row>
    <row r="1414">
      <c r="A1414" t="inlineStr">
        <is>
          <t>RetailBanking</t>
        </is>
      </c>
      <c r="B1414" t="inlineStr"/>
      <c r="C1414" t="inlineStr">
        <is>
          <t>x_LNCCAccumInt.aspx</t>
        </is>
      </c>
      <c r="D1414" t="inlineStr">
        <is>
          <t>RetailBanking/x_LNCCAccumInt.aspx</t>
        </is>
      </c>
      <c r="E1414" t="inlineStr">
        <is>
          <t>Medium</t>
        </is>
      </c>
      <c r="F1414" s="25">
        <f>VLOOKUP(E1414,Assumptions!$A$5:$B$8,2,0)</f>
        <v/>
      </c>
    </row>
    <row r="1415">
      <c r="A1415" t="inlineStr">
        <is>
          <t>RetailBanking</t>
        </is>
      </c>
      <c r="B1415" t="inlineStr"/>
      <c r="C1415" t="inlineStr">
        <is>
          <t>x_LNCCCRecCharge.aspx</t>
        </is>
      </c>
      <c r="D1415" t="inlineStr">
        <is>
          <t>RetailBanking/x_LNCCCRecCharge.aspx</t>
        </is>
      </c>
      <c r="E1415" t="inlineStr">
        <is>
          <t>Medium</t>
        </is>
      </c>
      <c r="F1415" s="25">
        <f>VLOOKUP(E1415,Assumptions!$A$5:$B$8,2,0)</f>
        <v/>
      </c>
    </row>
    <row r="1416">
      <c r="A1416" t="inlineStr">
        <is>
          <t>RetailBanking</t>
        </is>
      </c>
      <c r="B1416" t="inlineStr"/>
      <c r="C1416" t="inlineStr">
        <is>
          <t>x_LooseChequeDetail.aspx</t>
        </is>
      </c>
      <c r="D1416" t="inlineStr">
        <is>
          <t>RetailBanking/x_LooseChequeDetail.aspx</t>
        </is>
      </c>
      <c r="E1416" t="inlineStr">
        <is>
          <t>Medium</t>
        </is>
      </c>
      <c r="F1416" s="25">
        <f>VLOOKUP(E1416,Assumptions!$A$5:$B$8,2,0)</f>
        <v/>
      </c>
    </row>
    <row r="1417">
      <c r="A1417" t="inlineStr">
        <is>
          <t>RetailBanking</t>
        </is>
      </c>
      <c r="B1417" t="inlineStr"/>
      <c r="C1417" t="inlineStr">
        <is>
          <t>x_MarkingForm6061.aspx</t>
        </is>
      </c>
      <c r="D1417" t="inlineStr">
        <is>
          <t>RetailBanking/x_MarkingForm6061.aspx</t>
        </is>
      </c>
      <c r="E1417" t="inlineStr">
        <is>
          <t>Medium</t>
        </is>
      </c>
      <c r="F1417" s="25">
        <f>VLOOKUP(E1417,Assumptions!$A$5:$B$8,2,0)</f>
        <v/>
      </c>
    </row>
    <row r="1418">
      <c r="A1418" t="inlineStr">
        <is>
          <t>RetailBanking</t>
        </is>
      </c>
      <c r="B1418" t="inlineStr"/>
      <c r="C1418" t="inlineStr">
        <is>
          <t>x_NoTranTemplate.aspx</t>
        </is>
      </c>
      <c r="D1418" t="inlineStr">
        <is>
          <t>RetailBanking/x_NoTranTemplate.aspx</t>
        </is>
      </c>
      <c r="E1418" t="inlineStr">
        <is>
          <t>Medium</t>
        </is>
      </c>
      <c r="F1418" s="25">
        <f>VLOOKUP(E1418,Assumptions!$A$5:$B$8,2,0)</f>
        <v/>
      </c>
    </row>
    <row r="1419">
      <c r="A1419" t="inlineStr">
        <is>
          <t>RetailBanking</t>
        </is>
      </c>
      <c r="B1419" t="inlineStr"/>
      <c r="C1419" t="inlineStr">
        <is>
          <t>x_NonOprPAN.aspx</t>
        </is>
      </c>
      <c r="D1419" t="inlineStr">
        <is>
          <t>RetailBanking/x_NonOprPAN.aspx</t>
        </is>
      </c>
      <c r="E1419" t="inlineStr">
        <is>
          <t>Medium</t>
        </is>
      </c>
      <c r="F1419" s="25">
        <f>VLOOKUP(E1419,Assumptions!$A$5:$B$8,2,0)</f>
        <v/>
      </c>
    </row>
    <row r="1420">
      <c r="A1420" t="inlineStr">
        <is>
          <t>RetailBanking</t>
        </is>
      </c>
      <c r="B1420" t="inlineStr"/>
      <c r="C1420" t="inlineStr">
        <is>
          <t>x_NoticeCharges.aspx</t>
        </is>
      </c>
      <c r="D1420" t="inlineStr">
        <is>
          <t>RetailBanking/x_NoticeCharges.aspx</t>
        </is>
      </c>
      <c r="E1420" t="inlineStr">
        <is>
          <t>Medium</t>
        </is>
      </c>
      <c r="F1420" s="25">
        <f>VLOOKUP(E1420,Assumptions!$A$5:$B$8,2,0)</f>
        <v/>
      </c>
    </row>
    <row r="1421">
      <c r="A1421" t="inlineStr">
        <is>
          <t>RetailBanking</t>
        </is>
      </c>
      <c r="B1421" t="inlineStr"/>
      <c r="C1421" t="inlineStr">
        <is>
          <t>x_OverdueLetterTemplate.aspx</t>
        </is>
      </c>
      <c r="D1421" t="inlineStr">
        <is>
          <t>RetailBanking/x_OverdueLetterTemplate.aspx</t>
        </is>
      </c>
      <c r="E1421" t="inlineStr">
        <is>
          <t>Medium</t>
        </is>
      </c>
      <c r="F1421" s="25">
        <f>VLOOKUP(E1421,Assumptions!$A$5:$B$8,2,0)</f>
        <v/>
      </c>
    </row>
    <row r="1422">
      <c r="A1422" t="inlineStr">
        <is>
          <t>RetailBanking</t>
        </is>
      </c>
      <c r="B1422" t="inlineStr"/>
      <c r="C1422" t="inlineStr">
        <is>
          <t>x_PACSLoanDisbursement.aspx</t>
        </is>
      </c>
      <c r="D1422" t="inlineStr">
        <is>
          <t>RetailBanking/x_PACSLoanDisbursement.aspx</t>
        </is>
      </c>
      <c r="E1422" t="inlineStr">
        <is>
          <t>Medium</t>
        </is>
      </c>
      <c r="F1422" s="25">
        <f>VLOOKUP(E1422,Assumptions!$A$5:$B$8,2,0)</f>
        <v/>
      </c>
    </row>
    <row r="1423">
      <c r="A1423" t="inlineStr">
        <is>
          <t>RetailBanking</t>
        </is>
      </c>
      <c r="B1423" t="inlineStr"/>
      <c r="C1423" t="inlineStr">
        <is>
          <t>x_PACSRecovery.aspx</t>
        </is>
      </c>
      <c r="D1423" t="inlineStr">
        <is>
          <t>RetailBanking/x_PACSRecovery.aspx</t>
        </is>
      </c>
      <c r="E1423" t="inlineStr">
        <is>
          <t>Medium</t>
        </is>
      </c>
      <c r="F1423" s="25">
        <f>VLOOKUP(E1423,Assumptions!$A$5:$B$8,2,0)</f>
        <v/>
      </c>
    </row>
    <row r="1424">
      <c r="A1424" t="inlineStr">
        <is>
          <t>RetailBanking</t>
        </is>
      </c>
      <c r="B1424" t="inlineStr"/>
      <c r="C1424" t="inlineStr">
        <is>
          <t>x_ReconciliationHead.aspx</t>
        </is>
      </c>
      <c r="D1424" t="inlineStr">
        <is>
          <t>RetailBanking/x_ReconciliationHead.aspx</t>
        </is>
      </c>
      <c r="E1424" t="inlineStr">
        <is>
          <t>Medium</t>
        </is>
      </c>
      <c r="F1424" s="25">
        <f>VLOOKUP(E1424,Assumptions!$A$5:$B$8,2,0)</f>
        <v/>
      </c>
    </row>
    <row r="1425">
      <c r="A1425" t="inlineStr">
        <is>
          <t>RetailBanking</t>
        </is>
      </c>
      <c r="B1425" t="inlineStr"/>
      <c r="C1425" t="inlineStr">
        <is>
          <t>x_SalSchemeRegisExport.aspx</t>
        </is>
      </c>
      <c r="D1425" t="inlineStr">
        <is>
          <t>RetailBanking/x_SalSchemeRegisExport.aspx</t>
        </is>
      </c>
      <c r="E1425" t="inlineStr">
        <is>
          <t>Medium</t>
        </is>
      </c>
      <c r="F1425" s="25">
        <f>VLOOKUP(E1425,Assumptions!$A$5:$B$8,2,0)</f>
        <v/>
      </c>
    </row>
    <row r="1426">
      <c r="A1426" t="inlineStr">
        <is>
          <t>RetailBanking</t>
        </is>
      </c>
      <c r="B1426" t="inlineStr"/>
      <c r="C1426" t="inlineStr">
        <is>
          <t>x_SalSchemeRegistration.aspx</t>
        </is>
      </c>
      <c r="D1426" t="inlineStr">
        <is>
          <t>RetailBanking/x_SalSchemeRegistration.aspx</t>
        </is>
      </c>
      <c r="E1426" t="inlineStr">
        <is>
          <t>Medium</t>
        </is>
      </c>
      <c r="F1426" s="25">
        <f>VLOOKUP(E1426,Assumptions!$A$5:$B$8,2,0)</f>
        <v/>
      </c>
    </row>
    <row r="1427">
      <c r="A1427" t="inlineStr">
        <is>
          <t>RetailBanking</t>
        </is>
      </c>
      <c r="B1427" t="inlineStr"/>
      <c r="C1427" t="inlineStr">
        <is>
          <t>x_SalSchemeRegistrationReports.aspx</t>
        </is>
      </c>
      <c r="D1427" t="inlineStr">
        <is>
          <t>RetailBanking/x_SalSchemeRegistrationReports.aspx</t>
        </is>
      </c>
      <c r="E1427" t="inlineStr">
        <is>
          <t>Report</t>
        </is>
      </c>
      <c r="F1427" s="25">
        <f>VLOOKUP(E1427,Assumptions!$A$5:$B$8,2,0)</f>
        <v/>
      </c>
    </row>
    <row r="1428">
      <c r="A1428" t="inlineStr">
        <is>
          <t>RetailBanking</t>
        </is>
      </c>
      <c r="B1428" t="inlineStr"/>
      <c r="C1428" t="inlineStr">
        <is>
          <t>x_SalSchemeRegistrationSearchReport.aspx</t>
        </is>
      </c>
      <c r="D1428" t="inlineStr">
        <is>
          <t>RetailBanking/x_SalSchemeRegistrationSearchReport.aspx</t>
        </is>
      </c>
      <c r="E1428" t="inlineStr">
        <is>
          <t>Report</t>
        </is>
      </c>
      <c r="F1428" s="25">
        <f>VLOOKUP(E1428,Assumptions!$A$5:$B$8,2,0)</f>
        <v/>
      </c>
    </row>
    <row r="1429">
      <c r="A1429" t="inlineStr">
        <is>
          <t>RetailBanking</t>
        </is>
      </c>
      <c r="B1429" t="inlineStr"/>
      <c r="C1429" t="inlineStr">
        <is>
          <t>x_TranAccHeadRestrict.aspx</t>
        </is>
      </c>
      <c r="D1429" t="inlineStr">
        <is>
          <t>RetailBanking/x_TranAccHeadRestrict.aspx</t>
        </is>
      </c>
      <c r="E1429" t="inlineStr">
        <is>
          <t>Medium</t>
        </is>
      </c>
      <c r="F1429" s="25">
        <f>VLOOKUP(E1429,Assumptions!$A$5:$B$8,2,0)</f>
        <v/>
      </c>
    </row>
    <row r="1430">
      <c r="A1430" t="inlineStr">
        <is>
          <t>RetailBanking</t>
        </is>
      </c>
      <c r="B1430" t="inlineStr"/>
      <c r="C1430" t="inlineStr">
        <is>
          <t>x_UnAppliedLedgerView.aspx</t>
        </is>
      </c>
      <c r="D1430" t="inlineStr">
        <is>
          <t>RetailBanking/x_UnAppliedLedgerView.aspx</t>
        </is>
      </c>
      <c r="E1430" t="inlineStr">
        <is>
          <t>Medium</t>
        </is>
      </c>
      <c r="F1430" s="25">
        <f>VLOOKUP(E1430,Assumptions!$A$5:$B$8,2,0)</f>
        <v/>
      </c>
    </row>
    <row r="1431">
      <c r="A1431" t="inlineStr">
        <is>
          <t>RetailBanking</t>
        </is>
      </c>
      <c r="B1431" t="inlineStr"/>
      <c r="C1431" t="inlineStr">
        <is>
          <t>x_WelcomeLetterTemplate.aspx</t>
        </is>
      </c>
      <c r="D1431" t="inlineStr">
        <is>
          <t>RetailBanking/x_WelcomeLetterTemplate.aspx</t>
        </is>
      </c>
      <c r="E1431" t="inlineStr">
        <is>
          <t>Medium</t>
        </is>
      </c>
      <c r="F1431" s="25">
        <f>VLOOKUP(E1431,Assumptions!$A$5:$B$8,2,0)</f>
        <v/>
      </c>
    </row>
    <row r="1432">
      <c r="A1432" t="inlineStr">
        <is>
          <t>RetailBanking</t>
        </is>
      </c>
      <c r="B1432" t="inlineStr"/>
      <c r="C1432" t="inlineStr">
        <is>
          <t>x_chequeBookPrintData.aspx</t>
        </is>
      </c>
      <c r="D1432" t="inlineStr">
        <is>
          <t>RetailBanking/x_chequeBookPrintData.aspx</t>
        </is>
      </c>
      <c r="E1432" t="inlineStr">
        <is>
          <t>Medium</t>
        </is>
      </c>
      <c r="F1432" s="25">
        <f>VLOOKUP(E1432,Assumptions!$A$5:$B$8,2,0)</f>
        <v/>
      </c>
    </row>
    <row r="1433">
      <c r="A1433" t="inlineStr">
        <is>
          <t>RetailBanking</t>
        </is>
      </c>
      <c r="B1433" t="inlineStr"/>
      <c r="C1433" t="inlineStr">
        <is>
          <t>x_chequeBookPrintDataExport.aspx</t>
        </is>
      </c>
      <c r="D1433" t="inlineStr">
        <is>
          <t>RetailBanking/x_chequeBookPrintDataExport.aspx</t>
        </is>
      </c>
      <c r="E1433" t="inlineStr">
        <is>
          <t>Medium</t>
        </is>
      </c>
      <c r="F1433" s="25">
        <f>VLOOKUP(E1433,Assumptions!$A$5:$B$8,2,0)</f>
        <v/>
      </c>
    </row>
    <row r="1434">
      <c r="A1434" t="inlineStr">
        <is>
          <t>RetailBanking</t>
        </is>
      </c>
      <c r="B1434" t="inlineStr"/>
      <c r="C1434" t="inlineStr">
        <is>
          <t>x_loansettlement.aspx</t>
        </is>
      </c>
      <c r="D1434" t="inlineStr">
        <is>
          <t>RetailBanking/x_loansettlement.aspx</t>
        </is>
      </c>
      <c r="E1434" t="inlineStr">
        <is>
          <t>Medium</t>
        </is>
      </c>
      <c r="F1434" s="25">
        <f>VLOOKUP(E1434,Assumptions!$A$5:$B$8,2,0)</f>
        <v/>
      </c>
    </row>
    <row r="1435">
      <c r="A1435" t="inlineStr">
        <is>
          <t>ServiceBranch</t>
        </is>
      </c>
      <c r="B1435" t="inlineStr"/>
      <c r="C1435" t="inlineStr">
        <is>
          <t>b_BranchAdjInt.aspx</t>
        </is>
      </c>
      <c r="D1435" t="inlineStr">
        <is>
          <t>ServiceBranch/b_BranchAdjInt.aspx</t>
        </is>
      </c>
      <c r="E1435" t="inlineStr">
        <is>
          <t>Simple</t>
        </is>
      </c>
      <c r="F1435" s="25">
        <f>VLOOKUP(E1435,Assumptions!$A$5:$B$8,2,0)</f>
        <v/>
      </c>
    </row>
    <row r="1436">
      <c r="A1436" t="inlineStr">
        <is>
          <t>StatutoryReports</t>
        </is>
      </c>
      <c r="B1436" t="inlineStr"/>
      <c r="C1436" t="inlineStr">
        <is>
          <t>StatutoryExcelReportSave.aspx</t>
        </is>
      </c>
      <c r="D1436" t="inlineStr">
        <is>
          <t>StatutoryReports/StatutoryExcelReportSave.aspx</t>
        </is>
      </c>
      <c r="E1436" t="inlineStr">
        <is>
          <t>Report</t>
        </is>
      </c>
      <c r="F1436" s="25">
        <f>VLOOKUP(E1436,Assumptions!$A$5:$B$8,2,0)</f>
        <v/>
      </c>
    </row>
    <row r="1437">
      <c r="A1437" t="inlineStr">
        <is>
          <t>StatutoryReports</t>
        </is>
      </c>
      <c r="B1437" t="inlineStr"/>
      <c r="C1437" t="inlineStr">
        <is>
          <t>StatutoryReportData.aspx</t>
        </is>
      </c>
      <c r="D1437" t="inlineStr">
        <is>
          <t>StatutoryReports/StatutoryReportData.aspx</t>
        </is>
      </c>
      <c r="E1437" t="inlineStr">
        <is>
          <t>Report</t>
        </is>
      </c>
      <c r="F1437" s="25">
        <f>VLOOKUP(E1437,Assumptions!$A$5:$B$8,2,0)</f>
        <v/>
      </c>
    </row>
    <row r="1438">
      <c r="A1438" t="inlineStr">
        <is>
          <t>StatutoryReports</t>
        </is>
      </c>
      <c r="B1438" t="inlineStr"/>
      <c r="C1438" t="inlineStr">
        <is>
          <t>StautoryReportDetails.aspx</t>
        </is>
      </c>
      <c r="D1438" t="inlineStr">
        <is>
          <t>StatutoryReports/StautoryReportDetails.aspx</t>
        </is>
      </c>
      <c r="E1438" t="inlineStr">
        <is>
          <t>Report</t>
        </is>
      </c>
      <c r="F1438" s="25">
        <f>VLOOKUP(E1438,Assumptions!$A$5:$B$8,2,0)</f>
        <v/>
      </c>
    </row>
    <row r="1439">
      <c r="A1439" t="inlineStr">
        <is>
          <t>UserControls</t>
        </is>
      </c>
      <c r="B1439" t="inlineStr"/>
      <c r="C1439" t="inlineStr">
        <is>
          <t>MessageBox.aspx</t>
        </is>
      </c>
      <c r="D1439" t="inlineStr">
        <is>
          <t>UserControls/MessageBox.aspx</t>
        </is>
      </c>
      <c r="E1439" t="inlineStr">
        <is>
          <t>Medium</t>
        </is>
      </c>
      <c r="F1439" s="25">
        <f>VLOOKUP(E1439,Assumptions!$A$5:$B$8,2,0)</f>
        <v/>
      </c>
    </row>
    <row r="1440">
      <c r="A1440" t="inlineStr">
        <is>
          <t>UserControls</t>
        </is>
      </c>
      <c r="B1440" t="inlineStr"/>
      <c r="C1440" t="inlineStr">
        <is>
          <t>RecordSelector.aspx</t>
        </is>
      </c>
      <c r="D1440" t="inlineStr">
        <is>
          <t>UserControls/RecordSelector.aspx</t>
        </is>
      </c>
      <c r="E1440" t="inlineStr">
        <is>
          <t>Medium</t>
        </is>
      </c>
      <c r="F1440" s="25">
        <f>VLOOKUP(E1440,Assumptions!$A$5:$B$8,2,0)</f>
        <v/>
      </c>
    </row>
    <row r="1441">
      <c r="A1441" t="inlineStr">
        <is>
          <t>UserControls</t>
        </is>
      </c>
      <c r="B1441" t="inlineStr"/>
      <c r="C1441" t="inlineStr">
        <is>
          <t>RecordSelectorV2.aspx</t>
        </is>
      </c>
      <c r="D1441" t="inlineStr">
        <is>
          <t>UserControls/RecordSelectorV2.aspx</t>
        </is>
      </c>
      <c r="E1441" t="inlineStr">
        <is>
          <t>Medium</t>
        </is>
      </c>
      <c r="F1441" s="25">
        <f>VLOOKUP(E1441,Assumptions!$A$5:$B$8,2,0)</f>
        <v/>
      </c>
    </row>
    <row r="1442">
      <c r="A1442" t="inlineStr">
        <is>
          <t>UserControls</t>
        </is>
      </c>
      <c r="B1442" t="inlineStr"/>
      <c r="C1442" t="inlineStr">
        <is>
          <t>SearchAdvanced.aspx</t>
        </is>
      </c>
      <c r="D1442" t="inlineStr">
        <is>
          <t>UserControls/SearchAdvanced.aspx</t>
        </is>
      </c>
      <c r="E1442" t="inlineStr">
        <is>
          <t>Medium</t>
        </is>
      </c>
      <c r="F1442" s="25">
        <f>VLOOKUP(E1442,Assumptions!$A$5:$B$8,2,0)</f>
        <v/>
      </c>
    </row>
    <row r="1443">
      <c r="A1443" t="inlineStr">
        <is>
          <t>(root)</t>
        </is>
      </c>
      <c r="B1443" t="inlineStr"/>
      <c r="C1443" t="inlineStr">
        <is>
          <t>ad_ajax_dac.aspx</t>
        </is>
      </c>
      <c r="D1443" t="inlineStr">
        <is>
          <t>ad_ajax_dac.aspx</t>
        </is>
      </c>
      <c r="E1443" t="inlineStr">
        <is>
          <t>Simple</t>
        </is>
      </c>
      <c r="F1443" s="25">
        <f>VLOOKUP(E1443,Assumptions!$A$5:$B$8,2,0)</f>
        <v/>
      </c>
    </row>
    <row r="1444">
      <c r="A1444" t="inlineStr">
        <is>
          <t>ajax</t>
        </is>
      </c>
      <c r="B1444" t="inlineStr"/>
      <c r="C1444" t="inlineStr">
        <is>
          <t>commonV2.aspx</t>
        </is>
      </c>
      <c r="D1444" t="inlineStr">
        <is>
          <t>ajax/commonV2.aspx</t>
        </is>
      </c>
      <c r="E1444" t="inlineStr">
        <is>
          <t>Medium</t>
        </is>
      </c>
      <c r="F1444" s="25">
        <f>VLOOKUP(E1444,Assumptions!$A$5:$B$8,2,0)</f>
        <v/>
      </c>
    </row>
    <row r="1445">
      <c r="A1445" t="inlineStr">
        <is>
          <t>ajax</t>
        </is>
      </c>
      <c r="B1445" t="inlineStr"/>
      <c r="C1445" t="inlineStr">
        <is>
          <t>commonv1.aspx</t>
        </is>
      </c>
      <c r="D1445" t="inlineStr">
        <is>
          <t>ajax/commonv1.aspx</t>
        </is>
      </c>
      <c r="E1445" t="inlineStr">
        <is>
          <t>Medium</t>
        </is>
      </c>
      <c r="F1445" s="25">
        <f>VLOOKUP(E1445,Assumptions!$A$5:$B$8,2,0)</f>
        <v/>
      </c>
    </row>
    <row r="1446">
      <c r="A1446" t="inlineStr">
        <is>
          <t>(root)</t>
        </is>
      </c>
      <c r="B1446" t="inlineStr"/>
      <c r="C1446" t="inlineStr">
        <is>
          <t>apperror.aspx</t>
        </is>
      </c>
      <c r="D1446" t="inlineStr">
        <is>
          <t>apperror.aspx</t>
        </is>
      </c>
      <c r="E1446" t="inlineStr">
        <is>
          <t>Simple</t>
        </is>
      </c>
      <c r="F1446" s="25">
        <f>VLOOKUP(E1446,Assumptions!$A$5:$B$8,2,0)</f>
        <v/>
      </c>
    </row>
    <row r="1447">
      <c r="A1447" t="inlineStr">
        <is>
          <t>(root)</t>
        </is>
      </c>
      <c r="B1447" t="inlineStr"/>
      <c r="C1447" t="inlineStr">
        <is>
          <t>customised_reports.aspx</t>
        </is>
      </c>
      <c r="D1447" t="inlineStr">
        <is>
          <t>customised_reports.aspx</t>
        </is>
      </c>
      <c r="E1447" t="inlineStr">
        <is>
          <t>Report</t>
        </is>
      </c>
      <c r="F1447" s="25">
        <f>VLOOKUP(E1447,Assumptions!$A$5:$B$8,2,0)</f>
        <v/>
      </c>
    </row>
    <row r="1448">
      <c r="A1448" t="inlineStr">
        <is>
          <t>(root)</t>
        </is>
      </c>
      <c r="B1448" t="inlineStr"/>
      <c r="C1448" t="inlineStr">
        <is>
          <t>dosprint.aspx</t>
        </is>
      </c>
      <c r="D1448" t="inlineStr">
        <is>
          <t>dosprint.aspx</t>
        </is>
      </c>
      <c r="E1448" t="inlineStr">
        <is>
          <t>Simple</t>
        </is>
      </c>
      <c r="F1448" s="25">
        <f>VLOOKUP(E1448,Assumptions!$A$5:$B$8,2,0)</f>
        <v/>
      </c>
    </row>
    <row r="1449">
      <c r="A1449" t="inlineStr">
        <is>
          <t>(root)</t>
        </is>
      </c>
      <c r="B1449" t="inlineStr"/>
      <c r="C1449" t="inlineStr">
        <is>
          <t>download.aspx</t>
        </is>
      </c>
      <c r="D1449" t="inlineStr">
        <is>
          <t>download.aspx</t>
        </is>
      </c>
      <c r="E1449" t="inlineStr">
        <is>
          <t>Simple</t>
        </is>
      </c>
      <c r="F1449" s="25">
        <f>VLOOKUP(E1449,Assumptions!$A$5:$B$8,2,0)</f>
        <v/>
      </c>
    </row>
    <row r="1450">
      <c r="A1450" t="inlineStr">
        <is>
          <t>external_api</t>
        </is>
      </c>
      <c r="B1450" t="inlineStr">
        <is>
          <t>DL</t>
        </is>
      </c>
      <c r="C1450" t="inlineStr">
        <is>
          <t>drivinglicense_verify_handler.aspx</t>
        </is>
      </c>
      <c r="D1450" t="inlineStr">
        <is>
          <t>external_api/DL/drivinglicense_verify_handler.aspx</t>
        </is>
      </c>
      <c r="E1450" t="inlineStr">
        <is>
          <t>Medium</t>
        </is>
      </c>
      <c r="F1450" s="25">
        <f>VLOOKUP(E1450,Assumptions!$A$5:$B$8,2,0)</f>
        <v/>
      </c>
    </row>
    <row r="1451">
      <c r="A1451" t="inlineStr">
        <is>
          <t>external_api</t>
        </is>
      </c>
      <c r="B1451" t="inlineStr">
        <is>
          <t>aadhaar</t>
        </is>
      </c>
      <c r="C1451" t="inlineStr">
        <is>
          <t>aadhaar_verify_handler.aspx</t>
        </is>
      </c>
      <c r="D1451" t="inlineStr">
        <is>
          <t>external_api/aadhaar/aadhaar_verify_handler.aspx</t>
        </is>
      </c>
      <c r="E1451" t="inlineStr">
        <is>
          <t>Medium</t>
        </is>
      </c>
      <c r="F1451" s="25">
        <f>VLOOKUP(E1451,Assumptions!$A$5:$B$8,2,0)</f>
        <v/>
      </c>
    </row>
    <row r="1452">
      <c r="A1452" t="inlineStr">
        <is>
          <t>external_api</t>
        </is>
      </c>
      <c r="B1452" t="inlineStr">
        <is>
          <t>cust_onboard</t>
        </is>
      </c>
      <c r="C1452" t="inlineStr">
        <is>
          <t>customer_onboarding_handler.aspx</t>
        </is>
      </c>
      <c r="D1452" t="inlineStr">
        <is>
          <t>external_api/cust_onboard/customer_onboarding_handler.aspx</t>
        </is>
      </c>
      <c r="E1452" t="inlineStr">
        <is>
          <t>Medium</t>
        </is>
      </c>
      <c r="F1452" s="25">
        <f>VLOOKUP(E1452,Assumptions!$A$5:$B$8,2,0)</f>
        <v/>
      </c>
    </row>
    <row r="1453">
      <c r="A1453" t="inlineStr">
        <is>
          <t>external_api</t>
        </is>
      </c>
      <c r="B1453" t="inlineStr">
        <is>
          <t>pan</t>
        </is>
      </c>
      <c r="C1453" t="inlineStr">
        <is>
          <t>pan_verify_handler.aspx</t>
        </is>
      </c>
      <c r="D1453" t="inlineStr">
        <is>
          <t>external_api/pan/pan_verify_handler.aspx</t>
        </is>
      </c>
      <c r="E1453" t="inlineStr">
        <is>
          <t>Medium</t>
        </is>
      </c>
      <c r="F1453" s="25">
        <f>VLOOKUP(E1453,Assumptions!$A$5:$B$8,2,0)</f>
        <v/>
      </c>
    </row>
    <row r="1454">
      <c r="A1454" t="inlineStr">
        <is>
          <t>external_api</t>
        </is>
      </c>
      <c r="B1454" t="inlineStr">
        <is>
          <t>votercard</t>
        </is>
      </c>
      <c r="C1454" t="inlineStr">
        <is>
          <t>votercard_verify_handler.aspx</t>
        </is>
      </c>
      <c r="D1454" t="inlineStr">
        <is>
          <t>external_api/votercard/votercard_verify_handler.aspx</t>
        </is>
      </c>
      <c r="E1454" t="inlineStr">
        <is>
          <t>Medium</t>
        </is>
      </c>
      <c r="F1454" s="25">
        <f>VLOOKUP(E1454,Assumptions!$A$5:$B$8,2,0)</f>
        <v/>
      </c>
    </row>
    <row r="1455">
      <c r="A1455" t="inlineStr">
        <is>
          <t>fp</t>
        </is>
      </c>
      <c r="B1455" t="inlineStr"/>
      <c r="C1455" t="inlineStr">
        <is>
          <t>a_logintype.aspx</t>
        </is>
      </c>
      <c r="D1455" t="inlineStr">
        <is>
          <t>fp/a_logintype.aspx</t>
        </is>
      </c>
      <c r="E1455" t="inlineStr">
        <is>
          <t>Medium</t>
        </is>
      </c>
      <c r="F1455" s="25">
        <f>VLOOKUP(E1455,Assumptions!$A$5:$B$8,2,0)</f>
        <v/>
      </c>
    </row>
    <row r="1456">
      <c r="A1456" t="inlineStr">
        <is>
          <t>fp</t>
        </is>
      </c>
      <c r="B1456" t="inlineStr"/>
      <c r="C1456" t="inlineStr">
        <is>
          <t>fp_auth_handler.aspx</t>
        </is>
      </c>
      <c r="D1456" t="inlineStr">
        <is>
          <t>fp/fp_auth_handler.aspx</t>
        </is>
      </c>
      <c r="E1456" t="inlineStr">
        <is>
          <t>Medium</t>
        </is>
      </c>
      <c r="F1456" s="25">
        <f>VLOOKUP(E1456,Assumptions!$A$5:$B$8,2,0)</f>
        <v/>
      </c>
    </row>
    <row r="1457">
      <c r="A1457" t="inlineStr">
        <is>
          <t>fp</t>
        </is>
      </c>
      <c r="B1457" t="inlineStr"/>
      <c r="C1457" t="inlineStr">
        <is>
          <t>fp_authorize.aspx</t>
        </is>
      </c>
      <c r="D1457" t="inlineStr">
        <is>
          <t>fp/fp_authorize.aspx</t>
        </is>
      </c>
      <c r="E1457" t="inlineStr">
        <is>
          <t>Medium</t>
        </is>
      </c>
      <c r="F1457" s="25">
        <f>VLOOKUP(E1457,Assumptions!$A$5:$B$8,2,0)</f>
        <v/>
      </c>
    </row>
    <row r="1458">
      <c r="A1458" t="inlineStr">
        <is>
          <t>fp</t>
        </is>
      </c>
      <c r="B1458" t="inlineStr"/>
      <c r="C1458" t="inlineStr">
        <is>
          <t>login_handler.aspx</t>
        </is>
      </c>
      <c r="D1458" t="inlineStr">
        <is>
          <t>fp/login_handler.aspx</t>
        </is>
      </c>
      <c r="E1458" t="inlineStr">
        <is>
          <t>Medium</t>
        </is>
      </c>
      <c r="F1458" s="25">
        <f>VLOOKUP(E1458,Assumptions!$A$5:$B$8,2,0)</f>
        <v/>
      </c>
    </row>
    <row r="1459">
      <c r="A1459" t="inlineStr">
        <is>
          <t>fp</t>
        </is>
      </c>
      <c r="B1459" t="inlineStr">
        <is>
          <t>mfs100</t>
        </is>
      </c>
      <c r="C1459" t="inlineStr">
        <is>
          <t>fpui.aspx</t>
        </is>
      </c>
      <c r="D1459" t="inlineStr">
        <is>
          <t>fp/mfs100/fpui.aspx</t>
        </is>
      </c>
      <c r="E1459" t="inlineStr">
        <is>
          <t>Medium</t>
        </is>
      </c>
      <c r="F1459" s="25">
        <f>VLOOKUP(E1459,Assumptions!$A$5:$B$8,2,0)</f>
        <v/>
      </c>
    </row>
    <row r="1460">
      <c r="A1460" t="inlineStr">
        <is>
          <t>(root)</t>
        </is>
      </c>
      <c r="B1460" t="inlineStr"/>
      <c r="C1460" t="inlineStr">
        <is>
          <t>login_otp_verify.aspx</t>
        </is>
      </c>
      <c r="D1460" t="inlineStr">
        <is>
          <t>login_otp_verify.aspx</t>
        </is>
      </c>
      <c r="E1460" t="inlineStr">
        <is>
          <t>Simple</t>
        </is>
      </c>
      <c r="F1460" s="25">
        <f>VLOOKUP(E1460,Assumptions!$A$5:$B$8,2,0)</f>
        <v/>
      </c>
    </row>
    <row r="1461">
      <c r="A1461" t="inlineStr">
        <is>
          <t>(root)</t>
        </is>
      </c>
      <c r="B1461" t="inlineStr"/>
      <c r="C1461" t="inlineStr">
        <is>
          <t>login_otp_verify_handler.aspx</t>
        </is>
      </c>
      <c r="D1461" t="inlineStr">
        <is>
          <t>login_otp_verify_handler.aspx</t>
        </is>
      </c>
      <c r="E1461" t="inlineStr">
        <is>
          <t>Simple</t>
        </is>
      </c>
      <c r="F1461" s="25">
        <f>VLOOKUP(E1461,Assumptions!$A$5:$B$8,2,0)</f>
        <v/>
      </c>
    </row>
    <row r="1462">
      <c r="A1462" t="inlineStr">
        <is>
          <t>(root)</t>
        </is>
      </c>
      <c r="B1462" t="inlineStr"/>
      <c r="C1462" t="inlineStr">
        <is>
          <t>logout.aspx</t>
        </is>
      </c>
      <c r="D1462" t="inlineStr">
        <is>
          <t>logout.aspx</t>
        </is>
      </c>
      <c r="E1462" t="inlineStr">
        <is>
          <t>Simple</t>
        </is>
      </c>
      <c r="F1462" s="25">
        <f>VLOOKUP(E1462,Assumptions!$A$5:$B$8,2,0)</f>
        <v/>
      </c>
    </row>
  </sheetData>
  <autoFilter ref="A4:F14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2026-06-17T11:31:22Z</dcterms:created>
  <dcterms:modified xsi:type="dcterms:W3CDTF">2026-06-17T11:31:22Z</dcterms:modified>
</cp:coreProperties>
</file>